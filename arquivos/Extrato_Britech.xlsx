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jetos\analise_extrato\arquivos\"/>
    </mc:Choice>
  </mc:AlternateContent>
  <xr:revisionPtr revIDLastSave="0" documentId="13_ncr:1_{72C6AED3-12FC-4705-AF0F-60F2FDB0A116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Composição Carteira" sheetId="1" r:id="rId1"/>
  </sheets>
  <definedNames>
    <definedName name="_xlnm._FilterDatabase" localSheetId="0" hidden="1">'Composição Carteira'!$A$5:$DG$5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C47" i="1" l="1"/>
  <c r="CW22" i="1" s="1"/>
  <c r="CW13" i="1" l="1"/>
  <c r="CW11" i="1"/>
  <c r="CW41" i="1"/>
  <c r="CW34" i="1"/>
  <c r="CW33" i="1"/>
  <c r="CW17" i="1"/>
  <c r="CW14" i="1"/>
  <c r="CW36" i="1"/>
  <c r="CW37" i="1"/>
  <c r="CW28" i="1"/>
  <c r="CW40" i="1"/>
  <c r="CW12" i="1"/>
  <c r="CW30" i="1"/>
  <c r="CW20" i="1"/>
  <c r="CW19" i="1"/>
  <c r="CW24" i="1"/>
  <c r="CW9" i="1"/>
  <c r="CW25" i="1"/>
  <c r="CW16" i="1"/>
  <c r="CW39" i="1"/>
  <c r="CW42" i="1"/>
  <c r="CW44" i="1"/>
  <c r="CW43" i="1"/>
  <c r="CW31" i="1"/>
  <c r="CW21" i="1"/>
  <c r="CW23" i="1"/>
  <c r="CW38" i="1"/>
  <c r="CW46" i="1"/>
  <c r="CW29" i="1"/>
  <c r="CW6" i="1"/>
  <c r="CW32" i="1"/>
  <c r="CW15" i="1"/>
  <c r="CW10" i="1"/>
  <c r="CW7" i="1"/>
  <c r="CW18" i="1"/>
  <c r="CW35" i="1"/>
  <c r="CW45" i="1"/>
  <c r="CW8" i="1"/>
  <c r="CW27" i="1"/>
  <c r="CW26" i="1"/>
</calcChain>
</file>

<file path=xl/sharedStrings.xml><?xml version="1.0" encoding="utf-8"?>
<sst xmlns="http://schemas.openxmlformats.org/spreadsheetml/2006/main" count="3437" uniqueCount="313">
  <si>
    <t>CLIENTE</t>
  </si>
  <si>
    <t>DATA BASE</t>
  </si>
  <si>
    <t>DATA GERACAO</t>
  </si>
  <si>
    <t>MERCADO</t>
  </si>
  <si>
    <t>GRUPO</t>
  </si>
  <si>
    <t>CÓDIGO</t>
  </si>
  <si>
    <t>DESCRIÇÃO</t>
  </si>
  <si>
    <t>SÉRIE</t>
  </si>
  <si>
    <t>TIPO</t>
  </si>
  <si>
    <t>QUANTIDADE</t>
  </si>
  <si>
    <t>QTDE DÍSPONIVEL</t>
  </si>
  <si>
    <t>QTDE BLOQUEADA</t>
  </si>
  <si>
    <t>QTDE COTAS</t>
  </si>
  <si>
    <t>PU CUSTO LÍQUIDO</t>
  </si>
  <si>
    <t>VALOR CUSTO LÍQUIDO</t>
  </si>
  <si>
    <t>VALOR MERCADO</t>
  </si>
  <si>
    <t>RESULTADO</t>
  </si>
  <si>
    <t>PU EXERCICIO</t>
  </si>
  <si>
    <t>TIPO OPÇÃO</t>
  </si>
  <si>
    <t>TIPO OPERAÇÂO</t>
  </si>
  <si>
    <t>ID POSIÇÃO</t>
  </si>
  <si>
    <t>ID OPERAÇÃO</t>
  </si>
  <si>
    <t>ID TÍTULO</t>
  </si>
  <si>
    <t>DATA REGISTRO</t>
  </si>
  <si>
    <t>DATA VENCIMENTO</t>
  </si>
  <si>
    <t>DATA OPERAÇÃO</t>
  </si>
  <si>
    <t>DATA AQUISIÇÃO</t>
  </si>
  <si>
    <t>DATA EMISSÃO</t>
  </si>
  <si>
    <t>DATA LÍQUIDAÇÃO</t>
  </si>
  <si>
    <t>DATA LANÇAMENTO</t>
  </si>
  <si>
    <t>VALOR</t>
  </si>
  <si>
    <t>VALOR COTA</t>
  </si>
  <si>
    <t>VALOR TERMO</t>
  </si>
  <si>
    <t>VALOR CORRIGIDO</t>
  </si>
  <si>
    <t>VALOR LÍQUIDAR</t>
  </si>
  <si>
    <t>VALOR LÍQUIDO</t>
  </si>
  <si>
    <t>VALOR BASE</t>
  </si>
  <si>
    <t>VALOR CUSTO</t>
  </si>
  <si>
    <t>VALOR APLICAÇÃO</t>
  </si>
  <si>
    <t>VALOR COMISSÃO</t>
  </si>
  <si>
    <t>VALOR EMOLUMENTOS</t>
  </si>
  <si>
    <t>VALOR ATIVO</t>
  </si>
  <si>
    <t>VALOR PASSIVO</t>
  </si>
  <si>
    <t>VALOR PASSIVO MTM</t>
  </si>
  <si>
    <t>VALOR LÍQUIDO TRIBUTOS</t>
  </si>
  <si>
    <t>VALOR MOEDA VENDIDA</t>
  </si>
  <si>
    <t>VALOR MOEDA COMPRADA</t>
  </si>
  <si>
    <t>VALOR KNOCK IN</t>
  </si>
  <si>
    <t>VALOR KNOCK OUT</t>
  </si>
  <si>
    <t>VALOR JUROS</t>
  </si>
  <si>
    <t>VALOR ATIVO MTM</t>
  </si>
  <si>
    <t>VALOR IR</t>
  </si>
  <si>
    <t>PU BASE</t>
  </si>
  <si>
    <t>PU TERMO</t>
  </si>
  <si>
    <t>PU ORIGINAL</t>
  </si>
  <si>
    <t>TAXA</t>
  </si>
  <si>
    <t>TAXA OPERAÇÃO</t>
  </si>
  <si>
    <t>TAXA JUROS</t>
  </si>
  <si>
    <t>COMISSÃO</t>
  </si>
  <si>
    <t>MATRÍCULA</t>
  </si>
  <si>
    <t>OPÇÃO</t>
  </si>
  <si>
    <t>TIPO COMPANHIA</t>
  </si>
  <si>
    <t>ATIVO OBJETO</t>
  </si>
  <si>
    <t>EXERCÍCIO</t>
  </si>
  <si>
    <t>MOEDA ORIGEM</t>
  </si>
  <si>
    <t>MOEDA LÍQUIDAÇÃO</t>
  </si>
  <si>
    <t>MODALIDADE</t>
  </si>
  <si>
    <t>TIPO REGISTRO</t>
  </si>
  <si>
    <t>NÚMERO CONTRATO</t>
  </si>
  <si>
    <t>IDENTIFICADOR</t>
  </si>
  <si>
    <t>EMISSOR</t>
  </si>
  <si>
    <t>INSTITUIÇÃO</t>
  </si>
  <si>
    <t>CONTRATO</t>
  </si>
  <si>
    <t>CONTA CORRENTE</t>
  </si>
  <si>
    <t>APLICAÇÃO</t>
  </si>
  <si>
    <t>PREÇO LÍMITE EXERCÍCIO</t>
  </si>
  <si>
    <t>PONTA ATIVO</t>
  </si>
  <si>
    <t>PONTA PASSIVO</t>
  </si>
  <si>
    <t>PARIDADE CONTRATADA</t>
  </si>
  <si>
    <t>VALOR RESGATE</t>
  </si>
  <si>
    <t>TRIBUTOS</t>
  </si>
  <si>
    <t>PARIDADE MTM</t>
  </si>
  <si>
    <t>RENDIMENTO DIA</t>
  </si>
  <si>
    <t>RENDIMENTO APROPRIAR</t>
  </si>
  <si>
    <t>RENDIMENTO APROPRIADO</t>
  </si>
  <si>
    <t>RENDIMENTO TOTAL</t>
  </si>
  <si>
    <t>PU RESGATE</t>
  </si>
  <si>
    <t>AJUSTE DIÁRIO</t>
  </si>
  <si>
    <t>QUANTIDADE VALOR CUSTO</t>
  </si>
  <si>
    <t>PU CUSTO</t>
  </si>
  <si>
    <t>ÍNDICE</t>
  </si>
  <si>
    <t>AJUSTE MOEDA CARTEIRA</t>
  </si>
  <si>
    <t>AJUSTE MOEDA VENDIDA</t>
  </si>
  <si>
    <t>AJUSTE MOEDA LIQUIDAÇÃO</t>
  </si>
  <si>
    <t>SALDO MTM</t>
  </si>
  <si>
    <t>SALDO</t>
  </si>
  <si>
    <t>PRAZO</t>
  </si>
  <si>
    <t>PRAZO DECORRER</t>
  </si>
  <si>
    <t>EMPRÉSTIMO</t>
  </si>
  <si>
    <t>% SWAP</t>
  </si>
  <si>
    <t>% OUTROS ATIVOS</t>
  </si>
  <si>
    <t>% COTAS</t>
  </si>
  <si>
    <t>% TERMO</t>
  </si>
  <si>
    <t>% RENDA FIXA</t>
  </si>
  <si>
    <t>% OPÇÕES</t>
  </si>
  <si>
    <t>% AÇÕES</t>
  </si>
  <si>
    <t>% PL</t>
  </si>
  <si>
    <t>% FUTUROS</t>
  </si>
  <si>
    <t>TAXA JUROS CONTRA PARTE</t>
  </si>
  <si>
    <t>VALOR BRUTO</t>
  </si>
  <si>
    <t>% Valores</t>
  </si>
  <si>
    <t>PU TERMO LIQUIDO</t>
  </si>
  <si>
    <t>VALOR ATUALIZADO</t>
  </si>
  <si>
    <t>PU VENCIMENTO</t>
  </si>
  <si>
    <t/>
  </si>
  <si>
    <t>REDE D OR</t>
  </si>
  <si>
    <t>Renda Fixa</t>
  </si>
  <si>
    <t>Deb. Pós 252</t>
  </si>
  <si>
    <t>ANHBA2</t>
  </si>
  <si>
    <t>DEBENTURE ANHBA2 -  Vcto: 16-12-2024 -&gt; 100,00% CDI + 1,30%</t>
  </si>
  <si>
    <t>3187535</t>
  </si>
  <si>
    <t>1000001738</t>
  </si>
  <si>
    <t>16/12/2024</t>
  </si>
  <si>
    <t>22/05/2023</t>
  </si>
  <si>
    <t>04/11/2021</t>
  </si>
  <si>
    <t>CCR SA</t>
  </si>
  <si>
    <t>1,30 CDI</t>
  </si>
  <si>
    <t>LFT -  Vcto: 01-09-2028 -&gt; 100,00% SELIC</t>
  </si>
  <si>
    <t>2620178</t>
  </si>
  <si>
    <t>1000000178</t>
  </si>
  <si>
    <t>01/09/2028</t>
  </si>
  <si>
    <t>26/01/2023</t>
  </si>
  <si>
    <t>01/07/2000</t>
  </si>
  <si>
    <t>TESOURO NAC.</t>
  </si>
  <si>
    <t>0,00 SELIC</t>
  </si>
  <si>
    <t>NTN-B -  Vcto: 15-08-2028 -&gt; 100,00% IPCA + 6,00%</t>
  </si>
  <si>
    <t>5345413</t>
  </si>
  <si>
    <t>100000334</t>
  </si>
  <si>
    <t>15/08/2028</t>
  </si>
  <si>
    <t>01/11/2024</t>
  </si>
  <si>
    <t>15/07/2000</t>
  </si>
  <si>
    <t>6,00 IPCA</t>
  </si>
  <si>
    <t>ITSA24</t>
  </si>
  <si>
    <t>DEBENTURE ITSA24 -  Vcto: 15-07-2025 -&gt; 100,00% CDI + 2,00%</t>
  </si>
  <si>
    <t>3064711</t>
  </si>
  <si>
    <t>1000000322</t>
  </si>
  <si>
    <t>15/07/2025</t>
  </si>
  <si>
    <t>25/04/2023</t>
  </si>
  <si>
    <t>15/06/2021</t>
  </si>
  <si>
    <t>ITAUSA</t>
  </si>
  <si>
    <t>2,00 CDI</t>
  </si>
  <si>
    <t>3064705</t>
  </si>
  <si>
    <t>LFSC Pós</t>
  </si>
  <si>
    <t>LFSC18002C4</t>
  </si>
  <si>
    <t>LFSC Bradesco -  Vcto: 15-03-2050 -&gt; 120,00% CDI</t>
  </si>
  <si>
    <t>541873</t>
  </si>
  <si>
    <t>52330</t>
  </si>
  <si>
    <t>15/03/2050</t>
  </si>
  <si>
    <t>21/01/2019</t>
  </si>
  <si>
    <t>13/11/2018</t>
  </si>
  <si>
    <t>BANCO BRADESCO</t>
  </si>
  <si>
    <t>120,00 CDI</t>
  </si>
  <si>
    <t>UNIP15</t>
  </si>
  <si>
    <t>Debenture UNIP15 -  Vcto: 10-06-2025 -&gt; 100,00% CDI + 1,25%</t>
  </si>
  <si>
    <t>3187536</t>
  </si>
  <si>
    <t>1000001739</t>
  </si>
  <si>
    <t>10/06/2025</t>
  </si>
  <si>
    <t>10/06/2019</t>
  </si>
  <si>
    <t>UNIPAR</t>
  </si>
  <si>
    <t>1,25 CDI</t>
  </si>
  <si>
    <t>CRA Pós 252</t>
  </si>
  <si>
    <t>CRA020002H1</t>
  </si>
  <si>
    <t>CRA BRF -  Vcto: 15-07-2030 -&gt; 100,00% IPCA + 5,60%</t>
  </si>
  <si>
    <t>771879</t>
  </si>
  <si>
    <t>54377</t>
  </si>
  <si>
    <t>15/07/2030</t>
  </si>
  <si>
    <t>31/07/2020</t>
  </si>
  <si>
    <t>14/07/2020</t>
  </si>
  <si>
    <t>BRF SA</t>
  </si>
  <si>
    <t>5,60 IPCA</t>
  </si>
  <si>
    <t>NTN-B -  Vcto: 15-08-2050 -&gt; 100,00% IPCA + 6,00%</t>
  </si>
  <si>
    <t>4016468</t>
  </si>
  <si>
    <t>100000339</t>
  </si>
  <si>
    <t>15/08/2050</t>
  </si>
  <si>
    <t>05/10/2023</t>
  </si>
  <si>
    <t>LFSC18002CE</t>
  </si>
  <si>
    <t>541874</t>
  </si>
  <si>
    <t>52329</t>
  </si>
  <si>
    <t>LFSC18002C8</t>
  </si>
  <si>
    <t>LFSC Bradesco -  Vcto: 15-08-2050 -&gt; 120,00% CDI</t>
  </si>
  <si>
    <t>541872</t>
  </si>
  <si>
    <t>52333</t>
  </si>
  <si>
    <t>RDORB9</t>
  </si>
  <si>
    <t>DEBENTURE RDORB9 -  Vcto: 20-08-2031 -&gt; 100,00% CDI + 1,90%</t>
  </si>
  <si>
    <t>2951475</t>
  </si>
  <si>
    <t>1000001488</t>
  </si>
  <si>
    <t>20/08/2031</t>
  </si>
  <si>
    <t>30/03/2023</t>
  </si>
  <si>
    <t>17/06/2020</t>
  </si>
  <si>
    <t>1,90 CDI</t>
  </si>
  <si>
    <t>LFT -  Vcto: 01-09-2025 -&gt; 100,00% SELIC</t>
  </si>
  <si>
    <t>2401224</t>
  </si>
  <si>
    <t>52487</t>
  </si>
  <si>
    <t>01/09/2025</t>
  </si>
  <si>
    <t>28/11/2022</t>
  </si>
  <si>
    <t>LF Pós 252</t>
  </si>
  <si>
    <t>LF BMG -  Vcto: 05-12-2025 -&gt; 100,00% CDI + 2,00%</t>
  </si>
  <si>
    <t>4315259</t>
  </si>
  <si>
    <t>1000002586</t>
  </si>
  <si>
    <t>05/12/2025</t>
  </si>
  <si>
    <t>05/12/2023</t>
  </si>
  <si>
    <t>BANCO BMG</t>
  </si>
  <si>
    <t>3064706</t>
  </si>
  <si>
    <t>679827</t>
  </si>
  <si>
    <t>40</t>
  </si>
  <si>
    <t>27/03/2020</t>
  </si>
  <si>
    <t>LFSC18002CB</t>
  </si>
  <si>
    <t>541871</t>
  </si>
  <si>
    <t>52332</t>
  </si>
  <si>
    <t>KLBNA2</t>
  </si>
  <si>
    <t>DEBENTURE KLBNA2 -  Vcto: 19-03-2029 -&gt; 114,65% CDI</t>
  </si>
  <si>
    <t>2951476</t>
  </si>
  <si>
    <t>1000000951</t>
  </si>
  <si>
    <t>19/03/2029</t>
  </si>
  <si>
    <t>19/03/2019</t>
  </si>
  <si>
    <t>KLABIN S/A</t>
  </si>
  <si>
    <t>114,65 CDI</t>
  </si>
  <si>
    <t>3064712</t>
  </si>
  <si>
    <t>714110</t>
  </si>
  <si>
    <t>12/05/2020</t>
  </si>
  <si>
    <t>2048909</t>
  </si>
  <si>
    <t>1000000083</t>
  </si>
  <si>
    <t>14/07/2022</t>
  </si>
  <si>
    <t>LF Pré 252</t>
  </si>
  <si>
    <t>LFSN Safra -  Vcto: 30-10-2025 -&gt; Tx = 10,90%</t>
  </si>
  <si>
    <t>476851</t>
  </si>
  <si>
    <t>51997</t>
  </si>
  <si>
    <t>30/10/2025</t>
  </si>
  <si>
    <t>30/10/2018</t>
  </si>
  <si>
    <t>BANCO SAFRA</t>
  </si>
  <si>
    <t xml:space="preserve">10,90 </t>
  </si>
  <si>
    <t>3064709</t>
  </si>
  <si>
    <t>LFT -  Vcto: 01-03-2028 -&gt; 100,00% SELIC</t>
  </si>
  <si>
    <t>3505714</t>
  </si>
  <si>
    <t>100000370</t>
  </si>
  <si>
    <t>01/03/2028</t>
  </si>
  <si>
    <t>18/07/2023</t>
  </si>
  <si>
    <t>3064704</t>
  </si>
  <si>
    <t>3064708</t>
  </si>
  <si>
    <t>707270</t>
  </si>
  <si>
    <t>06/05/2020</t>
  </si>
  <si>
    <t>NTN-B Princ -  Vcto: 15-05-2035 -&gt; 100,00% IPCA + 6,00%</t>
  </si>
  <si>
    <t>1480211</t>
  </si>
  <si>
    <t>37</t>
  </si>
  <si>
    <t>15/05/2035</t>
  </si>
  <si>
    <t>14/01/2022</t>
  </si>
  <si>
    <t>4700993</t>
  </si>
  <si>
    <t>11/04/2024</t>
  </si>
  <si>
    <t>Deb. Inflação</t>
  </si>
  <si>
    <t>IFPT11</t>
  </si>
  <si>
    <t>DEBENTURE IFPT11 -  Vcto: 13-06-2032 -&gt; 100,00% IPCA + 7,10%</t>
  </si>
  <si>
    <t>1027367</t>
  </si>
  <si>
    <t>2247369</t>
  </si>
  <si>
    <t>13/06/2032</t>
  </si>
  <si>
    <t>16/07/2021</t>
  </si>
  <si>
    <t>30/06/2021</t>
  </si>
  <si>
    <t>IFIN PARTICIPACOES S.A</t>
  </si>
  <si>
    <t>7,10 IPCA</t>
  </si>
  <si>
    <t>4868696</t>
  </si>
  <si>
    <t>13/06/2024</t>
  </si>
  <si>
    <t>3064707</t>
  </si>
  <si>
    <t>4817356</t>
  </si>
  <si>
    <t>23/05/2024</t>
  </si>
  <si>
    <t>SBSPC6</t>
  </si>
  <si>
    <t>Debenture SBSPC6 -  Vcto: 15-07-2030 -&gt; 100,00% IPCA + 4,95%</t>
  </si>
  <si>
    <t>771878</t>
  </si>
  <si>
    <t>54371</t>
  </si>
  <si>
    <t>15/07/2020</t>
  </si>
  <si>
    <t>SABESP</t>
  </si>
  <si>
    <t>4,95 IPCA</t>
  </si>
  <si>
    <t>3064710</t>
  </si>
  <si>
    <t>NTN-B -  Vcto: 15-08-2030 -&gt; 100,00% IPCA + 6,00%</t>
  </si>
  <si>
    <t>973397</t>
  </si>
  <si>
    <t>36</t>
  </si>
  <si>
    <t>15/08/2030</t>
  </si>
  <si>
    <t>06/04/2021</t>
  </si>
  <si>
    <t>TIET19</t>
  </si>
  <si>
    <t>DEBENTURE TIET19 -  Vcto: 15-03-2027 -&gt; 100,00% CDI + 1,00%</t>
  </si>
  <si>
    <t>3187533</t>
  </si>
  <si>
    <t>54374</t>
  </si>
  <si>
    <t>15/03/2027</t>
  </si>
  <si>
    <t>15/03/2019</t>
  </si>
  <si>
    <t>AES TIETE</t>
  </si>
  <si>
    <t>1,00 CDI</t>
  </si>
  <si>
    <t>CPGT29</t>
  </si>
  <si>
    <t>DEBENTURE CPGT29 -  Vcto: 10-10-2031 -&gt; 100,00% CDI + 0,69%</t>
  </si>
  <si>
    <t>5278935</t>
  </si>
  <si>
    <t>1000003689</t>
  </si>
  <si>
    <t>10/10/2031</t>
  </si>
  <si>
    <t>15/10/2024</t>
  </si>
  <si>
    <t>10/10/2024</t>
  </si>
  <si>
    <t>COPEL</t>
  </si>
  <si>
    <t>0,69 CDI</t>
  </si>
  <si>
    <t>2607542</t>
  </si>
  <si>
    <t>25/01/2023</t>
  </si>
  <si>
    <t>4636225</t>
  </si>
  <si>
    <t>07/03/2024</t>
  </si>
  <si>
    <t>3486087</t>
  </si>
  <si>
    <t>13/07/2023</t>
  </si>
  <si>
    <t>Carteira B</t>
  </si>
  <si>
    <t>LFT Pós</t>
  </si>
  <si>
    <t>NTN-B Inflação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</si>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</sst>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_-&quot;R$&quot;\ * #,##0.000000000000_-;\-&quot;R$&quot;\ * #,##0.0000000000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1999877925962096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  <xf numFmtId="2" fontId="0" fillId="0" borderId="0" xfId="0" applyNumberFormat="1"/>
    <xf numFmtId="22" fontId="0" fillId="0" borderId="0" xfId="0" applyNumberFormat="1"/>
    <xf numFmtId="14" fontId="0" fillId="0" borderId="0" xfId="0" applyNumberFormat="1"/>
    <xf numFmtId="164" fontId="0" fillId="0" borderId="0" xfId="0" applyNumberFormat="1"/>
    <xf numFmtId="44" fontId="0" fillId="0" borderId="0" xfId="1" applyFont="1"/>
    <xf numFmtId="44" fontId="0" fillId="0" borderId="0" xfId="0" applyNumberFormat="1"/>
    <xf numFmtId="165" fontId="0" fillId="0" borderId="0" xfId="0" applyNumberFormat="1"/>
    <xf numFmtId="49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G64"/>
  <sheetViews>
    <sheetView tabSelected="1" topLeftCell="H1" workbookViewId="0">
      <selection activeCell="H1" sqref="H1:V1048576"/>
    </sheetView>
  </sheetViews>
  <sheetFormatPr defaultRowHeight="15" x14ac:dyDescent="0.25"/>
  <cols>
    <col min="1" max="3" width="25.7109375" customWidth="1"/>
    <col min="4" max="4" width="54.28515625" customWidth="1"/>
    <col min="5" max="6" width="25.7109375" hidden="1" customWidth="1"/>
    <col min="7" max="8" width="25.7109375" customWidth="1"/>
    <col min="9" max="21" width="25.7109375" hidden="1" customWidth="1"/>
    <col min="22" max="25" width="25.7109375" customWidth="1"/>
    <col min="26" max="75" width="25.7109375" hidden="1" customWidth="1"/>
    <col min="76" max="76" width="54.28515625" hidden="1" customWidth="1"/>
    <col min="77" max="84" width="25.7109375" hidden="1" customWidth="1"/>
    <col min="85" max="85" width="54.28515625" hidden="1" customWidth="1"/>
    <col min="86" max="95" width="25.7109375" hidden="1" customWidth="1"/>
    <col min="96" max="96" width="54.28515625" hidden="1" customWidth="1"/>
    <col min="97" max="106" width="25.7109375" hidden="1" customWidth="1"/>
    <col min="107" max="111" width="25.7109375" customWidth="1"/>
  </cols>
  <sheetData>
    <row r="1" spans="1:111" x14ac:dyDescent="0.25">
      <c r="A1" s="1" t="s">
        <v>0</v>
      </c>
      <c r="B1">
        <v>18460</v>
      </c>
    </row>
    <row r="2" spans="1:111" x14ac:dyDescent="0.25">
      <c r="A2" s="1" t="s">
        <v>0</v>
      </c>
      <c r="B2" t="s">
        <v>309</v>
      </c>
    </row>
    <row r="3" spans="1:111" x14ac:dyDescent="0.25">
      <c r="A3" s="1" t="s">
        <v>1</v>
      </c>
      <c r="B3" s="5">
        <v>45981</v>
      </c>
    </row>
    <row r="4" spans="1:111" x14ac:dyDescent="0.25">
      <c r="A4" s="1" t="s">
        <v>2</v>
      </c>
      <c r="B4" s="4">
        <v>45992.455555555556</v>
      </c>
    </row>
    <row r="5" spans="1:11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  <c r="AC5" s="1" t="s">
        <v>31</v>
      </c>
      <c r="AD5" s="1" t="s">
        <v>32</v>
      </c>
      <c r="AE5" s="1" t="s">
        <v>33</v>
      </c>
      <c r="AF5" s="1" t="s">
        <v>34</v>
      </c>
      <c r="AG5" s="1" t="s">
        <v>35</v>
      </c>
      <c r="AH5" s="1" t="s">
        <v>36</v>
      </c>
      <c r="AI5" s="1" t="s">
        <v>37</v>
      </c>
      <c r="AJ5" s="1" t="s">
        <v>38</v>
      </c>
      <c r="AK5" s="1" t="s">
        <v>39</v>
      </c>
      <c r="AL5" s="1" t="s">
        <v>40</v>
      </c>
      <c r="AM5" s="1" t="s">
        <v>41</v>
      </c>
      <c r="AN5" s="1" t="s">
        <v>42</v>
      </c>
      <c r="AO5" s="1" t="s">
        <v>43</v>
      </c>
      <c r="AP5" s="1" t="s">
        <v>44</v>
      </c>
      <c r="AQ5" s="1" t="s">
        <v>45</v>
      </c>
      <c r="AR5" s="1" t="s">
        <v>46</v>
      </c>
      <c r="AS5" s="1" t="s">
        <v>47</v>
      </c>
      <c r="AT5" s="1" t="s">
        <v>48</v>
      </c>
      <c r="AU5" s="1" t="s">
        <v>49</v>
      </c>
      <c r="AV5" s="1" t="s">
        <v>50</v>
      </c>
      <c r="AW5" s="1" t="s">
        <v>51</v>
      </c>
      <c r="AX5" s="1" t="s">
        <v>52</v>
      </c>
      <c r="AY5" s="1" t="s">
        <v>53</v>
      </c>
      <c r="AZ5" s="1" t="s">
        <v>54</v>
      </c>
      <c r="BA5" s="1" t="s">
        <v>55</v>
      </c>
      <c r="BB5" s="1" t="s">
        <v>56</v>
      </c>
      <c r="BC5" s="1" t="s">
        <v>57</v>
      </c>
      <c r="BD5" s="1" t="s">
        <v>58</v>
      </c>
      <c r="BE5" s="1" t="s">
        <v>59</v>
      </c>
      <c r="BF5" s="1" t="s">
        <v>60</v>
      </c>
      <c r="BG5" s="1" t="s">
        <v>61</v>
      </c>
      <c r="BH5" s="1" t="s">
        <v>62</v>
      </c>
      <c r="BI5" s="1" t="s">
        <v>63</v>
      </c>
      <c r="BJ5" s="1" t="s">
        <v>64</v>
      </c>
      <c r="BK5" s="1" t="s">
        <v>65</v>
      </c>
      <c r="BL5" s="1" t="s">
        <v>66</v>
      </c>
      <c r="BM5" s="1" t="s">
        <v>67</v>
      </c>
      <c r="BN5" s="1" t="s">
        <v>68</v>
      </c>
      <c r="BO5" s="1" t="s">
        <v>69</v>
      </c>
      <c r="BP5" s="1" t="s">
        <v>70</v>
      </c>
      <c r="BQ5" s="1" t="s">
        <v>71</v>
      </c>
      <c r="BR5" s="1" t="s">
        <v>72</v>
      </c>
      <c r="BS5" s="1" t="s">
        <v>73</v>
      </c>
      <c r="BT5" s="1" t="s">
        <v>74</v>
      </c>
      <c r="BU5" s="1" t="s">
        <v>75</v>
      </c>
      <c r="BV5" s="1" t="s">
        <v>76</v>
      </c>
      <c r="BW5" s="1" t="s">
        <v>77</v>
      </c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1" t="s">
        <v>88</v>
      </c>
      <c r="CI5" s="1" t="s">
        <v>89</v>
      </c>
      <c r="CJ5" s="1" t="s">
        <v>90</v>
      </c>
      <c r="CK5" s="1" t="s">
        <v>91</v>
      </c>
      <c r="CL5" s="1" t="s">
        <v>92</v>
      </c>
      <c r="CM5" s="1" t="s">
        <v>93</v>
      </c>
      <c r="CN5" s="1" t="s">
        <v>94</v>
      </c>
      <c r="CO5" s="1" t="s">
        <v>95</v>
      </c>
      <c r="CP5" s="1" t="s">
        <v>96</v>
      </c>
      <c r="CQ5" s="1" t="s">
        <v>97</v>
      </c>
      <c r="CR5" s="1" t="s">
        <v>98</v>
      </c>
      <c r="CS5" s="1" t="s">
        <v>99</v>
      </c>
      <c r="CT5" s="1" t="s">
        <v>100</v>
      </c>
      <c r="CU5" s="1" t="s">
        <v>101</v>
      </c>
      <c r="CV5" s="1" t="s">
        <v>102</v>
      </c>
      <c r="CW5" s="1" t="s">
        <v>103</v>
      </c>
      <c r="CX5" s="1" t="s">
        <v>104</v>
      </c>
      <c r="CY5" s="1" t="s">
        <v>105</v>
      </c>
      <c r="CZ5" s="1" t="s">
        <v>106</v>
      </c>
      <c r="DA5" s="1" t="s">
        <v>107</v>
      </c>
      <c r="DB5" s="1" t="s">
        <v>108</v>
      </c>
      <c r="DC5" s="1" t="s">
        <v>109</v>
      </c>
      <c r="DD5" s="1" t="s">
        <v>110</v>
      </c>
      <c r="DE5" s="1" t="s">
        <v>111</v>
      </c>
      <c r="DF5" s="1" t="s">
        <v>112</v>
      </c>
      <c r="DG5" s="1" t="s">
        <v>113</v>
      </c>
    </row>
    <row r="6" spans="1:111" x14ac:dyDescent="0.25">
      <c r="A6" t="s">
        <v>116</v>
      </c>
      <c r="B6" t="s">
        <v>170</v>
      </c>
      <c r="C6" t="s">
        <v>171</v>
      </c>
      <c r="D6" t="s">
        <v>172</v>
      </c>
      <c r="G6" s="2">
        <v>9</v>
      </c>
      <c r="I6" s="2">
        <v>0</v>
      </c>
      <c r="J6" s="2" t="s">
        <v>114</v>
      </c>
      <c r="K6" t="s">
        <v>114</v>
      </c>
      <c r="L6" s="3" t="s">
        <v>114</v>
      </c>
      <c r="M6" s="3" t="s">
        <v>114</v>
      </c>
      <c r="N6" s="3" t="s">
        <v>114</v>
      </c>
      <c r="O6" t="s">
        <v>114</v>
      </c>
      <c r="R6" t="s">
        <v>173</v>
      </c>
      <c r="S6" t="s">
        <v>114</v>
      </c>
      <c r="T6" t="s">
        <v>174</v>
      </c>
      <c r="U6" t="s">
        <v>114</v>
      </c>
      <c r="V6" t="s">
        <v>175</v>
      </c>
      <c r="W6" t="s">
        <v>176</v>
      </c>
      <c r="X6" t="s">
        <v>114</v>
      </c>
      <c r="Y6" t="s">
        <v>177</v>
      </c>
      <c r="Z6" t="s">
        <v>114</v>
      </c>
      <c r="AA6" t="s">
        <v>114</v>
      </c>
      <c r="AB6" s="3" t="s">
        <v>114</v>
      </c>
      <c r="AC6" s="3" t="s">
        <v>114</v>
      </c>
      <c r="AD6" s="3" t="s">
        <v>114</v>
      </c>
      <c r="AE6" s="3" t="s">
        <v>114</v>
      </c>
      <c r="AF6" s="3" t="s">
        <v>114</v>
      </c>
      <c r="AG6" s="3">
        <v>487738.57</v>
      </c>
      <c r="AH6" s="3" t="s">
        <v>114</v>
      </c>
      <c r="AI6" s="3" t="s">
        <v>114</v>
      </c>
      <c r="AJ6" s="3">
        <v>412567.71</v>
      </c>
      <c r="AK6" s="3" t="s">
        <v>114</v>
      </c>
      <c r="AL6" s="3" t="s">
        <v>114</v>
      </c>
      <c r="AM6" s="3" t="s">
        <v>114</v>
      </c>
      <c r="AN6" s="3" t="s">
        <v>114</v>
      </c>
      <c r="AO6" s="3" t="s">
        <v>114</v>
      </c>
      <c r="AP6" s="3" t="s">
        <v>114</v>
      </c>
      <c r="AQ6" s="3" t="s">
        <v>114</v>
      </c>
      <c r="AR6" s="3" t="s">
        <v>114</v>
      </c>
      <c r="AS6" s="3" t="s">
        <v>114</v>
      </c>
      <c r="AT6" s="3" t="s">
        <v>114</v>
      </c>
      <c r="AU6" s="3" t="s">
        <v>114</v>
      </c>
      <c r="AV6" s="3" t="s">
        <v>114</v>
      </c>
      <c r="AW6" s="3" t="s">
        <v>114</v>
      </c>
      <c r="AX6" t="s">
        <v>114</v>
      </c>
      <c r="AY6" t="s">
        <v>114</v>
      </c>
      <c r="AZ6" t="s">
        <v>114</v>
      </c>
      <c r="BA6" s="3">
        <v>4.6895876519120003</v>
      </c>
      <c r="BB6" s="3" t="s">
        <v>114</v>
      </c>
      <c r="BC6" s="3" t="s">
        <v>114</v>
      </c>
      <c r="BD6" s="3" t="s">
        <v>114</v>
      </c>
      <c r="BM6" s="3" t="s">
        <v>114</v>
      </c>
      <c r="BP6" t="s">
        <v>178</v>
      </c>
      <c r="BT6" s="3" t="s">
        <v>114</v>
      </c>
      <c r="BU6" s="3" t="s">
        <v>114</v>
      </c>
      <c r="BX6" s="3" t="s">
        <v>114</v>
      </c>
      <c r="BY6" s="3" t="s">
        <v>114</v>
      </c>
      <c r="BZ6" s="3">
        <v>0</v>
      </c>
      <c r="CA6" s="3" t="s">
        <v>114</v>
      </c>
      <c r="CB6" s="3" t="s">
        <v>114</v>
      </c>
      <c r="CC6" s="3" t="s">
        <v>114</v>
      </c>
      <c r="CD6" s="3" t="s">
        <v>114</v>
      </c>
      <c r="CE6" s="3" t="s">
        <v>114</v>
      </c>
      <c r="CF6" t="s">
        <v>114</v>
      </c>
      <c r="CG6" s="3" t="s">
        <v>114</v>
      </c>
      <c r="CH6" s="3" t="s">
        <v>114</v>
      </c>
      <c r="CI6" t="s">
        <v>114</v>
      </c>
      <c r="CJ6" t="s">
        <v>179</v>
      </c>
      <c r="CK6" s="3" t="s">
        <v>114</v>
      </c>
      <c r="CL6" s="3" t="s">
        <v>114</v>
      </c>
      <c r="CM6" s="3" t="s">
        <v>114</v>
      </c>
      <c r="CN6" s="3" t="s">
        <v>114</v>
      </c>
      <c r="CO6" s="3" t="s">
        <v>114</v>
      </c>
      <c r="CP6" s="2" t="s">
        <v>114</v>
      </c>
      <c r="CQ6" s="2" t="s">
        <v>114</v>
      </c>
      <c r="CR6" s="3" t="s">
        <v>114</v>
      </c>
      <c r="CS6" s="3" t="s">
        <v>114</v>
      </c>
      <c r="CT6" s="3" t="s">
        <v>114</v>
      </c>
      <c r="CU6" s="3" t="s">
        <v>114</v>
      </c>
      <c r="CV6" s="3" t="s">
        <v>114</v>
      </c>
      <c r="CW6" s="3">
        <f t="shared" ref="CW6:CW46" si="0">DC6/$DC$47</f>
        <v>3.2699663899903077E-5</v>
      </c>
      <c r="CX6" s="3" t="s">
        <v>114</v>
      </c>
      <c r="CY6" s="3" t="s">
        <v>114</v>
      </c>
      <c r="CZ6" s="3">
        <v>1.1832076590423184</v>
      </c>
      <c r="DA6" s="3" t="s">
        <v>114</v>
      </c>
      <c r="DB6" s="3" t="s">
        <v>114</v>
      </c>
      <c r="DC6" s="7">
        <v>11327.4304605</v>
      </c>
      <c r="DD6" s="7"/>
      <c r="DE6" t="s">
        <v>114</v>
      </c>
      <c r="DF6" s="3" t="s">
        <v>114</v>
      </c>
      <c r="DG6" t="s">
        <v>114</v>
      </c>
    </row>
    <row r="7" spans="1:111" x14ac:dyDescent="0.25">
      <c r="A7" t="s">
        <v>116</v>
      </c>
      <c r="B7" t="s">
        <v>152</v>
      </c>
      <c r="C7" t="s">
        <v>153</v>
      </c>
      <c r="D7" t="s">
        <v>154</v>
      </c>
      <c r="G7" s="2">
        <v>34</v>
      </c>
      <c r="I7" s="2">
        <v>0</v>
      </c>
      <c r="J7" s="2" t="s">
        <v>114</v>
      </c>
      <c r="K7" t="s">
        <v>114</v>
      </c>
      <c r="L7" s="3" t="s">
        <v>114</v>
      </c>
      <c r="M7" s="3" t="s">
        <v>114</v>
      </c>
      <c r="N7" s="3" t="s">
        <v>114</v>
      </c>
      <c r="O7" t="s">
        <v>114</v>
      </c>
      <c r="R7" t="s">
        <v>155</v>
      </c>
      <c r="S7" t="s">
        <v>114</v>
      </c>
      <c r="T7" t="s">
        <v>156</v>
      </c>
      <c r="U7" t="s">
        <v>114</v>
      </c>
      <c r="V7" t="s">
        <v>157</v>
      </c>
      <c r="W7" t="s">
        <v>158</v>
      </c>
      <c r="X7" t="s">
        <v>114</v>
      </c>
      <c r="Y7" t="s">
        <v>159</v>
      </c>
      <c r="Z7" t="s">
        <v>114</v>
      </c>
      <c r="AA7" t="s">
        <v>114</v>
      </c>
      <c r="AB7" s="3" t="s">
        <v>114</v>
      </c>
      <c r="AC7" s="3" t="s">
        <v>114</v>
      </c>
      <c r="AD7" s="3" t="s">
        <v>114</v>
      </c>
      <c r="AE7" s="3" t="s">
        <v>114</v>
      </c>
      <c r="AF7" s="3" t="s">
        <v>114</v>
      </c>
      <c r="AG7" s="3">
        <v>327283.87</v>
      </c>
      <c r="AH7" s="3" t="s">
        <v>114</v>
      </c>
      <c r="AI7" s="3" t="s">
        <v>114</v>
      </c>
      <c r="AJ7" s="3">
        <v>309885.83</v>
      </c>
      <c r="AK7" s="3" t="s">
        <v>114</v>
      </c>
      <c r="AL7" s="3" t="s">
        <v>114</v>
      </c>
      <c r="AM7" s="3" t="s">
        <v>114</v>
      </c>
      <c r="AN7" s="3" t="s">
        <v>114</v>
      </c>
      <c r="AO7" s="3" t="s">
        <v>114</v>
      </c>
      <c r="AP7" s="3" t="s">
        <v>114</v>
      </c>
      <c r="AQ7" s="3" t="s">
        <v>114</v>
      </c>
      <c r="AR7" s="3" t="s">
        <v>114</v>
      </c>
      <c r="AS7" s="3" t="s">
        <v>114</v>
      </c>
      <c r="AT7" s="3" t="s">
        <v>114</v>
      </c>
      <c r="AU7" s="3" t="s">
        <v>114</v>
      </c>
      <c r="AV7" s="3" t="s">
        <v>114</v>
      </c>
      <c r="AW7" s="3" t="s">
        <v>114</v>
      </c>
      <c r="AX7" t="s">
        <v>114</v>
      </c>
      <c r="AY7" t="s">
        <v>114</v>
      </c>
      <c r="AZ7" t="s">
        <v>114</v>
      </c>
      <c r="BA7" s="3">
        <v>120</v>
      </c>
      <c r="BB7" s="3" t="s">
        <v>114</v>
      </c>
      <c r="BC7" s="3" t="s">
        <v>114</v>
      </c>
      <c r="BD7" s="3" t="s">
        <v>114</v>
      </c>
      <c r="BM7" s="3" t="s">
        <v>114</v>
      </c>
      <c r="BP7" t="s">
        <v>160</v>
      </c>
      <c r="BT7" s="3" t="s">
        <v>114</v>
      </c>
      <c r="BU7" s="3" t="s">
        <v>114</v>
      </c>
      <c r="BX7" s="3" t="s">
        <v>114</v>
      </c>
      <c r="BY7" s="3" t="s">
        <v>114</v>
      </c>
      <c r="BZ7" s="3">
        <v>0</v>
      </c>
      <c r="CA7" s="3" t="s">
        <v>114</v>
      </c>
      <c r="CB7" s="3" t="s">
        <v>114</v>
      </c>
      <c r="CC7" s="3" t="s">
        <v>114</v>
      </c>
      <c r="CD7" s="3" t="s">
        <v>114</v>
      </c>
      <c r="CE7" s="3" t="s">
        <v>114</v>
      </c>
      <c r="CF7" t="s">
        <v>114</v>
      </c>
      <c r="CG7" s="3" t="s">
        <v>114</v>
      </c>
      <c r="CH7" s="3" t="s">
        <v>114</v>
      </c>
      <c r="CI7" t="s">
        <v>114</v>
      </c>
      <c r="CJ7" t="s">
        <v>161</v>
      </c>
      <c r="CK7" s="3" t="s">
        <v>114</v>
      </c>
      <c r="CL7" s="3" t="s">
        <v>114</v>
      </c>
      <c r="CM7" s="3" t="s">
        <v>114</v>
      </c>
      <c r="CN7" s="3" t="s">
        <v>114</v>
      </c>
      <c r="CO7" s="3" t="s">
        <v>114</v>
      </c>
      <c r="CP7" s="2" t="s">
        <v>114</v>
      </c>
      <c r="CQ7" s="2" t="s">
        <v>114</v>
      </c>
      <c r="CR7" s="3" t="s">
        <v>114</v>
      </c>
      <c r="CS7" s="3" t="s">
        <v>114</v>
      </c>
      <c r="CT7" s="3" t="s">
        <v>114</v>
      </c>
      <c r="CU7" s="3" t="s">
        <v>114</v>
      </c>
      <c r="CV7" s="3" t="s">
        <v>114</v>
      </c>
      <c r="CW7" s="3">
        <f t="shared" si="0"/>
        <v>3.212294909541704E-2</v>
      </c>
      <c r="CX7" s="3" t="s">
        <v>114</v>
      </c>
      <c r="CY7" s="3" t="s">
        <v>114</v>
      </c>
      <c r="CZ7" s="3">
        <v>0.79395972654984082</v>
      </c>
      <c r="DA7" s="3" t="s">
        <v>114</v>
      </c>
      <c r="DB7" s="3" t="s">
        <v>114</v>
      </c>
      <c r="DC7" s="7">
        <v>11127651.745239999</v>
      </c>
      <c r="DD7" s="7"/>
      <c r="DE7" t="s">
        <v>114</v>
      </c>
      <c r="DF7" s="3" t="s">
        <v>114</v>
      </c>
      <c r="DG7" t="s">
        <v>114</v>
      </c>
    </row>
    <row r="8" spans="1:111" x14ac:dyDescent="0.25">
      <c r="A8" t="s">
        <v>116</v>
      </c>
      <c r="B8" t="s">
        <v>117</v>
      </c>
      <c r="C8" t="s">
        <v>142</v>
      </c>
      <c r="D8" t="s">
        <v>143</v>
      </c>
      <c r="G8" s="2">
        <v>42</v>
      </c>
      <c r="I8" s="2">
        <v>0</v>
      </c>
      <c r="J8" s="2" t="s">
        <v>114</v>
      </c>
      <c r="K8" t="s">
        <v>114</v>
      </c>
      <c r="L8" s="3" t="s">
        <v>114</v>
      </c>
      <c r="M8" s="3" t="s">
        <v>114</v>
      </c>
      <c r="N8" s="3" t="s">
        <v>114</v>
      </c>
      <c r="O8" t="s">
        <v>114</v>
      </c>
      <c r="R8" t="s">
        <v>144</v>
      </c>
      <c r="S8" t="s">
        <v>114</v>
      </c>
      <c r="T8" t="s">
        <v>145</v>
      </c>
      <c r="U8" t="s">
        <v>114</v>
      </c>
      <c r="V8" t="s">
        <v>146</v>
      </c>
      <c r="W8" t="s">
        <v>147</v>
      </c>
      <c r="X8" t="s">
        <v>114</v>
      </c>
      <c r="Y8" t="s">
        <v>148</v>
      </c>
      <c r="Z8" t="s">
        <v>114</v>
      </c>
      <c r="AA8" t="s">
        <v>114</v>
      </c>
      <c r="AB8" s="3" t="s">
        <v>114</v>
      </c>
      <c r="AC8" s="3" t="s">
        <v>114</v>
      </c>
      <c r="AD8" s="3" t="s">
        <v>114</v>
      </c>
      <c r="AE8" s="3" t="s">
        <v>114</v>
      </c>
      <c r="AF8" s="3" t="s">
        <v>114</v>
      </c>
      <c r="AG8" s="3">
        <v>94500.54</v>
      </c>
      <c r="AH8" s="3" t="s">
        <v>114</v>
      </c>
      <c r="AI8" s="3" t="s">
        <v>114</v>
      </c>
      <c r="AJ8" s="3">
        <v>91874.39</v>
      </c>
      <c r="AK8" s="3" t="s">
        <v>114</v>
      </c>
      <c r="AL8" s="3" t="s">
        <v>114</v>
      </c>
      <c r="AM8" s="3" t="s">
        <v>114</v>
      </c>
      <c r="AN8" s="3" t="s">
        <v>114</v>
      </c>
      <c r="AO8" s="3" t="s">
        <v>114</v>
      </c>
      <c r="AP8" s="3" t="s">
        <v>114</v>
      </c>
      <c r="AQ8" s="3" t="s">
        <v>114</v>
      </c>
      <c r="AR8" s="3" t="s">
        <v>114</v>
      </c>
      <c r="AS8" s="3" t="s">
        <v>114</v>
      </c>
      <c r="AT8" s="3" t="s">
        <v>114</v>
      </c>
      <c r="AU8" s="3" t="s">
        <v>114</v>
      </c>
      <c r="AV8" s="3" t="s">
        <v>114</v>
      </c>
      <c r="AW8" s="3" t="s">
        <v>114</v>
      </c>
      <c r="AX8" t="s">
        <v>114</v>
      </c>
      <c r="AY8" t="s">
        <v>114</v>
      </c>
      <c r="AZ8" t="s">
        <v>114</v>
      </c>
      <c r="BA8" s="3">
        <v>-0.40601663244899999</v>
      </c>
      <c r="BB8" s="3" t="s">
        <v>114</v>
      </c>
      <c r="BC8" s="3" t="s">
        <v>114</v>
      </c>
      <c r="BD8" s="3" t="s">
        <v>114</v>
      </c>
      <c r="BM8" s="3" t="s">
        <v>114</v>
      </c>
      <c r="BP8" t="s">
        <v>149</v>
      </c>
      <c r="BT8" s="3" t="s">
        <v>114</v>
      </c>
      <c r="BU8" s="3" t="s">
        <v>114</v>
      </c>
      <c r="BX8" s="3" t="s">
        <v>114</v>
      </c>
      <c r="BY8" s="3" t="s">
        <v>114</v>
      </c>
      <c r="BZ8" s="3">
        <v>0</v>
      </c>
      <c r="CA8" s="3" t="s">
        <v>114</v>
      </c>
      <c r="CB8" s="3" t="s">
        <v>114</v>
      </c>
      <c r="CC8" s="3" t="s">
        <v>114</v>
      </c>
      <c r="CD8" s="3" t="s">
        <v>114</v>
      </c>
      <c r="CE8" s="3" t="s">
        <v>114</v>
      </c>
      <c r="CF8" t="s">
        <v>114</v>
      </c>
      <c r="CG8" s="3" t="s">
        <v>114</v>
      </c>
      <c r="CH8" s="3" t="s">
        <v>114</v>
      </c>
      <c r="CI8" t="s">
        <v>114</v>
      </c>
      <c r="CJ8" t="s">
        <v>150</v>
      </c>
      <c r="CK8" s="3" t="s">
        <v>114</v>
      </c>
      <c r="CL8" s="3" t="s">
        <v>114</v>
      </c>
      <c r="CM8" s="3" t="s">
        <v>114</v>
      </c>
      <c r="CN8" s="3" t="s">
        <v>114</v>
      </c>
      <c r="CO8" s="3" t="s">
        <v>114</v>
      </c>
      <c r="CP8" s="2" t="s">
        <v>114</v>
      </c>
      <c r="CQ8" s="2" t="s">
        <v>114</v>
      </c>
      <c r="CR8" s="3" t="s">
        <v>114</v>
      </c>
      <c r="CS8" s="3" t="s">
        <v>114</v>
      </c>
      <c r="CT8" s="3" t="s">
        <v>114</v>
      </c>
      <c r="CU8" s="3" t="s">
        <v>114</v>
      </c>
      <c r="CV8" s="3" t="s">
        <v>114</v>
      </c>
      <c r="CW8" s="3">
        <f t="shared" si="0"/>
        <v>1.3169709360538184E-4</v>
      </c>
      <c r="CX8" s="3" t="s">
        <v>114</v>
      </c>
      <c r="CY8" s="3" t="s">
        <v>114</v>
      </c>
      <c r="CZ8" s="3">
        <v>0.22924937577037419</v>
      </c>
      <c r="DA8" s="3" t="s">
        <v>114</v>
      </c>
      <c r="DB8" s="3" t="s">
        <v>114</v>
      </c>
      <c r="DC8" s="7">
        <v>45620.948100000001</v>
      </c>
      <c r="DD8" s="7"/>
      <c r="DE8" t="s">
        <v>114</v>
      </c>
      <c r="DF8" s="3" t="s">
        <v>114</v>
      </c>
      <c r="DG8" t="s">
        <v>114</v>
      </c>
    </row>
    <row r="9" spans="1:111" x14ac:dyDescent="0.25">
      <c r="A9" t="s">
        <v>116</v>
      </c>
      <c r="B9" t="s">
        <v>205</v>
      </c>
      <c r="C9" t="s">
        <v>114</v>
      </c>
      <c r="D9" t="s">
        <v>206</v>
      </c>
      <c r="G9" s="2">
        <v>46</v>
      </c>
      <c r="I9" s="2">
        <v>0</v>
      </c>
      <c r="J9" s="2" t="s">
        <v>114</v>
      </c>
      <c r="K9" t="s">
        <v>114</v>
      </c>
      <c r="L9" s="3" t="s">
        <v>114</v>
      </c>
      <c r="M9" s="3" t="s">
        <v>114</v>
      </c>
      <c r="N9" s="3" t="s">
        <v>114</v>
      </c>
      <c r="O9" t="s">
        <v>114</v>
      </c>
      <c r="R9" t="s">
        <v>207</v>
      </c>
      <c r="S9" t="s">
        <v>114</v>
      </c>
      <c r="T9" t="s">
        <v>208</v>
      </c>
      <c r="U9" t="s">
        <v>114</v>
      </c>
      <c r="V9" t="s">
        <v>209</v>
      </c>
      <c r="W9" t="s">
        <v>210</v>
      </c>
      <c r="X9" t="s">
        <v>114</v>
      </c>
      <c r="Y9" t="s">
        <v>210</v>
      </c>
      <c r="Z9" t="s">
        <v>114</v>
      </c>
      <c r="AA9" t="s">
        <v>114</v>
      </c>
      <c r="AB9" s="3" t="s">
        <v>114</v>
      </c>
      <c r="AC9" s="3" t="s">
        <v>114</v>
      </c>
      <c r="AD9" s="3" t="s">
        <v>114</v>
      </c>
      <c r="AE9" s="3" t="s">
        <v>114</v>
      </c>
      <c r="AF9" s="3" t="s">
        <v>114</v>
      </c>
      <c r="AG9" s="3">
        <v>567634.54</v>
      </c>
      <c r="AH9" s="3" t="s">
        <v>114</v>
      </c>
      <c r="AI9" s="3" t="s">
        <v>114</v>
      </c>
      <c r="AJ9" s="3">
        <v>500000</v>
      </c>
      <c r="AK9" s="3" t="s">
        <v>114</v>
      </c>
      <c r="AL9" s="3" t="s">
        <v>114</v>
      </c>
      <c r="AM9" s="3" t="s">
        <v>114</v>
      </c>
      <c r="AN9" s="3" t="s">
        <v>114</v>
      </c>
      <c r="AO9" s="3" t="s">
        <v>114</v>
      </c>
      <c r="AP9" s="3" t="s">
        <v>114</v>
      </c>
      <c r="AQ9" s="3" t="s">
        <v>114</v>
      </c>
      <c r="AR9" s="3" t="s">
        <v>114</v>
      </c>
      <c r="AS9" s="3" t="s">
        <v>114</v>
      </c>
      <c r="AT9" s="3" t="s">
        <v>114</v>
      </c>
      <c r="AU9" s="3" t="s">
        <v>114</v>
      </c>
      <c r="AV9" s="3" t="s">
        <v>114</v>
      </c>
      <c r="AW9" s="3" t="s">
        <v>114</v>
      </c>
      <c r="AX9" t="s">
        <v>114</v>
      </c>
      <c r="AY9" t="s">
        <v>114</v>
      </c>
      <c r="AZ9" t="s">
        <v>114</v>
      </c>
      <c r="BA9" s="3">
        <v>2</v>
      </c>
      <c r="BB9" s="3" t="s">
        <v>114</v>
      </c>
      <c r="BC9" s="3" t="s">
        <v>114</v>
      </c>
      <c r="BD9" s="3" t="s">
        <v>114</v>
      </c>
      <c r="BM9" s="3" t="s">
        <v>114</v>
      </c>
      <c r="BP9" t="s">
        <v>211</v>
      </c>
      <c r="BT9" s="3" t="s">
        <v>114</v>
      </c>
      <c r="BU9" s="3" t="s">
        <v>114</v>
      </c>
      <c r="BX9" s="3" t="s">
        <v>114</v>
      </c>
      <c r="BY9" s="3" t="s">
        <v>114</v>
      </c>
      <c r="BZ9" s="3">
        <v>0</v>
      </c>
      <c r="CA9" s="3" t="s">
        <v>114</v>
      </c>
      <c r="CB9" s="3" t="s">
        <v>114</v>
      </c>
      <c r="CC9" s="3" t="s">
        <v>114</v>
      </c>
      <c r="CD9" s="3" t="s">
        <v>114</v>
      </c>
      <c r="CE9" s="3" t="s">
        <v>114</v>
      </c>
      <c r="CF9" t="s">
        <v>114</v>
      </c>
      <c r="CG9" s="3" t="s">
        <v>114</v>
      </c>
      <c r="CH9" s="3" t="s">
        <v>114</v>
      </c>
      <c r="CI9" t="s">
        <v>114</v>
      </c>
      <c r="CJ9" t="s">
        <v>150</v>
      </c>
      <c r="CK9" s="3" t="s">
        <v>114</v>
      </c>
      <c r="CL9" s="3" t="s">
        <v>114</v>
      </c>
      <c r="CM9" s="3" t="s">
        <v>114</v>
      </c>
      <c r="CN9" s="3" t="s">
        <v>114</v>
      </c>
      <c r="CO9" s="3" t="s">
        <v>114</v>
      </c>
      <c r="CP9" s="2" t="s">
        <v>114</v>
      </c>
      <c r="CQ9" s="2" t="s">
        <v>114</v>
      </c>
      <c r="CR9" s="3" t="s">
        <v>114</v>
      </c>
      <c r="CS9" s="3" t="s">
        <v>114</v>
      </c>
      <c r="CT9" s="3" t="s">
        <v>114</v>
      </c>
      <c r="CU9" s="3" t="s">
        <v>114</v>
      </c>
      <c r="CV9" s="3" t="s">
        <v>114</v>
      </c>
      <c r="CW9" s="3">
        <f t="shared" si="0"/>
        <v>1.5075389018530744E-2</v>
      </c>
      <c r="CX9" s="3" t="s">
        <v>114</v>
      </c>
      <c r="CY9" s="3" t="s">
        <v>114</v>
      </c>
      <c r="CZ9" s="3">
        <v>1.3770277287378834</v>
      </c>
      <c r="DA9" s="3" t="s">
        <v>114</v>
      </c>
      <c r="DB9" s="3" t="s">
        <v>114</v>
      </c>
      <c r="DC9" s="7">
        <v>5222237.7971566394</v>
      </c>
      <c r="DD9" s="7"/>
      <c r="DE9" t="s">
        <v>114</v>
      </c>
      <c r="DF9" s="3" t="s">
        <v>114</v>
      </c>
      <c r="DG9" t="s">
        <v>114</v>
      </c>
    </row>
    <row r="10" spans="1:111" x14ac:dyDescent="0.25">
      <c r="A10" t="s">
        <v>116</v>
      </c>
      <c r="B10" t="s">
        <v>117</v>
      </c>
      <c r="C10" t="s">
        <v>192</v>
      </c>
      <c r="D10" t="s">
        <v>193</v>
      </c>
      <c r="G10" s="2">
        <v>48</v>
      </c>
      <c r="I10" s="2">
        <v>0</v>
      </c>
      <c r="J10" s="2" t="s">
        <v>114</v>
      </c>
      <c r="K10" t="s">
        <v>114</v>
      </c>
      <c r="L10" s="3" t="s">
        <v>114</v>
      </c>
      <c r="M10" s="3" t="s">
        <v>114</v>
      </c>
      <c r="N10" s="3" t="s">
        <v>114</v>
      </c>
      <c r="O10" t="s">
        <v>114</v>
      </c>
      <c r="R10" t="s">
        <v>194</v>
      </c>
      <c r="S10" t="s">
        <v>114</v>
      </c>
      <c r="T10" t="s">
        <v>195</v>
      </c>
      <c r="U10" t="s">
        <v>114</v>
      </c>
      <c r="V10" t="s">
        <v>196</v>
      </c>
      <c r="W10" t="s">
        <v>197</v>
      </c>
      <c r="X10" t="s">
        <v>114</v>
      </c>
      <c r="Y10" t="s">
        <v>198</v>
      </c>
      <c r="Z10" t="s">
        <v>114</v>
      </c>
      <c r="AA10" t="s">
        <v>114</v>
      </c>
      <c r="AB10" s="3" t="s">
        <v>114</v>
      </c>
      <c r="AC10" s="3" t="s">
        <v>114</v>
      </c>
      <c r="AD10" s="3" t="s">
        <v>114</v>
      </c>
      <c r="AE10" s="3" t="s">
        <v>114</v>
      </c>
      <c r="AF10" s="3" t="s">
        <v>114</v>
      </c>
      <c r="AG10" s="3">
        <v>543113.56999999995</v>
      </c>
      <c r="AH10" s="3" t="s">
        <v>114</v>
      </c>
      <c r="AI10" s="3" t="s">
        <v>114</v>
      </c>
      <c r="AJ10" s="3">
        <v>499796.61</v>
      </c>
      <c r="AK10" s="3" t="s">
        <v>114</v>
      </c>
      <c r="AL10" s="3" t="s">
        <v>114</v>
      </c>
      <c r="AM10" s="3" t="s">
        <v>114</v>
      </c>
      <c r="AN10" s="3" t="s">
        <v>114</v>
      </c>
      <c r="AO10" s="3" t="s">
        <v>114</v>
      </c>
      <c r="AP10" s="3" t="s">
        <v>114</v>
      </c>
      <c r="AQ10" s="3" t="s">
        <v>114</v>
      </c>
      <c r="AR10" s="3" t="s">
        <v>114</v>
      </c>
      <c r="AS10" s="3" t="s">
        <v>114</v>
      </c>
      <c r="AT10" s="3" t="s">
        <v>114</v>
      </c>
      <c r="AU10" s="3" t="s">
        <v>114</v>
      </c>
      <c r="AV10" s="3" t="s">
        <v>114</v>
      </c>
      <c r="AW10" s="3" t="s">
        <v>114</v>
      </c>
      <c r="AX10" t="s">
        <v>114</v>
      </c>
      <c r="AY10" t="s">
        <v>114</v>
      </c>
      <c r="AZ10" t="s">
        <v>114</v>
      </c>
      <c r="BA10" s="3">
        <v>7.693485492982</v>
      </c>
      <c r="BB10" s="3" t="s">
        <v>114</v>
      </c>
      <c r="BC10" s="3" t="s">
        <v>114</v>
      </c>
      <c r="BD10" s="3" t="s">
        <v>114</v>
      </c>
      <c r="BM10" s="3" t="s">
        <v>114</v>
      </c>
      <c r="BP10" t="s">
        <v>115</v>
      </c>
      <c r="BT10" s="3" t="s">
        <v>114</v>
      </c>
      <c r="BU10" s="3" t="s">
        <v>114</v>
      </c>
      <c r="BX10" s="3" t="s">
        <v>114</v>
      </c>
      <c r="BY10" s="3" t="s">
        <v>114</v>
      </c>
      <c r="BZ10" s="3">
        <v>0</v>
      </c>
      <c r="CA10" s="3" t="s">
        <v>114</v>
      </c>
      <c r="CB10" s="3" t="s">
        <v>114</v>
      </c>
      <c r="CC10" s="3" t="s">
        <v>114</v>
      </c>
      <c r="CD10" s="3" t="s">
        <v>114</v>
      </c>
      <c r="CE10" s="3" t="s">
        <v>114</v>
      </c>
      <c r="CF10" t="s">
        <v>114</v>
      </c>
      <c r="CG10" s="3" t="s">
        <v>114</v>
      </c>
      <c r="CH10" s="3" t="s">
        <v>114</v>
      </c>
      <c r="CI10" t="s">
        <v>114</v>
      </c>
      <c r="CJ10" t="s">
        <v>199</v>
      </c>
      <c r="CK10" s="3" t="s">
        <v>114</v>
      </c>
      <c r="CL10" s="3" t="s">
        <v>114</v>
      </c>
      <c r="CM10" s="3" t="s">
        <v>114</v>
      </c>
      <c r="CN10" s="3" t="s">
        <v>114</v>
      </c>
      <c r="CO10" s="3" t="s">
        <v>114</v>
      </c>
      <c r="CP10" s="2" t="s">
        <v>114</v>
      </c>
      <c r="CQ10" s="2" t="s">
        <v>114</v>
      </c>
      <c r="CR10" s="3" t="s">
        <v>114</v>
      </c>
      <c r="CS10" s="3" t="s">
        <v>114</v>
      </c>
      <c r="CT10" s="3" t="s">
        <v>114</v>
      </c>
      <c r="CU10" s="3" t="s">
        <v>114</v>
      </c>
      <c r="CV10" s="3" t="s">
        <v>114</v>
      </c>
      <c r="CW10" s="3">
        <f t="shared" si="0"/>
        <v>1.4641334389999189E-4</v>
      </c>
      <c r="CX10" s="3" t="s">
        <v>114</v>
      </c>
      <c r="CY10" s="3" t="s">
        <v>114</v>
      </c>
      <c r="CZ10" s="3">
        <v>1.3175421737793183</v>
      </c>
      <c r="DA10" s="3" t="s">
        <v>114</v>
      </c>
      <c r="DB10" s="3" t="s">
        <v>114</v>
      </c>
      <c r="DC10" s="7">
        <v>50718.777312000006</v>
      </c>
      <c r="DD10" s="7"/>
      <c r="DE10" t="s">
        <v>114</v>
      </c>
      <c r="DF10" s="3" t="s">
        <v>114</v>
      </c>
      <c r="DG10" t="s">
        <v>114</v>
      </c>
    </row>
    <row r="11" spans="1:111" x14ac:dyDescent="0.25">
      <c r="A11" t="s">
        <v>116</v>
      </c>
      <c r="B11" t="s">
        <v>117</v>
      </c>
      <c r="C11" t="s">
        <v>142</v>
      </c>
      <c r="D11" t="s">
        <v>143</v>
      </c>
      <c r="G11" s="2">
        <v>54</v>
      </c>
      <c r="I11" s="2">
        <v>0</v>
      </c>
      <c r="J11" s="2" t="s">
        <v>114</v>
      </c>
      <c r="K11" t="s">
        <v>114</v>
      </c>
      <c r="L11" s="3" t="s">
        <v>114</v>
      </c>
      <c r="M11" s="3" t="s">
        <v>114</v>
      </c>
      <c r="N11" s="3" t="s">
        <v>114</v>
      </c>
      <c r="O11" t="s">
        <v>114</v>
      </c>
      <c r="R11" t="s">
        <v>212</v>
      </c>
      <c r="S11" t="s">
        <v>114</v>
      </c>
      <c r="T11" t="s">
        <v>145</v>
      </c>
      <c r="U11" t="s">
        <v>114</v>
      </c>
      <c r="V11" t="s">
        <v>146</v>
      </c>
      <c r="W11" t="s">
        <v>147</v>
      </c>
      <c r="X11" t="s">
        <v>114</v>
      </c>
      <c r="Y11" t="s">
        <v>148</v>
      </c>
      <c r="Z11" t="s">
        <v>114</v>
      </c>
      <c r="AA11" t="s">
        <v>114</v>
      </c>
      <c r="AB11" s="3" t="s">
        <v>114</v>
      </c>
      <c r="AC11" s="3" t="s">
        <v>114</v>
      </c>
      <c r="AD11" s="3" t="s">
        <v>114</v>
      </c>
      <c r="AE11" s="3" t="s">
        <v>114</v>
      </c>
      <c r="AF11" s="3" t="s">
        <v>114</v>
      </c>
      <c r="AG11" s="3">
        <v>99931.6</v>
      </c>
      <c r="AH11" s="3" t="s">
        <v>114</v>
      </c>
      <c r="AI11" s="3" t="s">
        <v>114</v>
      </c>
      <c r="AJ11" s="3">
        <v>97154.53</v>
      </c>
      <c r="AK11" s="3" t="s">
        <v>114</v>
      </c>
      <c r="AL11" s="3" t="s">
        <v>114</v>
      </c>
      <c r="AM11" s="3" t="s">
        <v>114</v>
      </c>
      <c r="AN11" s="3" t="s">
        <v>114</v>
      </c>
      <c r="AO11" s="3" t="s">
        <v>114</v>
      </c>
      <c r="AP11" s="3" t="s">
        <v>114</v>
      </c>
      <c r="AQ11" s="3" t="s">
        <v>114</v>
      </c>
      <c r="AR11" s="3" t="s">
        <v>114</v>
      </c>
      <c r="AS11" s="3" t="s">
        <v>114</v>
      </c>
      <c r="AT11" s="3" t="s">
        <v>114</v>
      </c>
      <c r="AU11" s="3" t="s">
        <v>114</v>
      </c>
      <c r="AV11" s="3" t="s">
        <v>114</v>
      </c>
      <c r="AW11" s="3" t="s">
        <v>114</v>
      </c>
      <c r="AX11" t="s">
        <v>114</v>
      </c>
      <c r="AY11" t="s">
        <v>114</v>
      </c>
      <c r="AZ11" t="s">
        <v>114</v>
      </c>
      <c r="BA11" s="3">
        <v>-0.40601635025799998</v>
      </c>
      <c r="BB11" s="3" t="s">
        <v>114</v>
      </c>
      <c r="BC11" s="3" t="s">
        <v>114</v>
      </c>
      <c r="BD11" s="3" t="s">
        <v>114</v>
      </c>
      <c r="BM11" s="3" t="s">
        <v>114</v>
      </c>
      <c r="BP11" t="s">
        <v>149</v>
      </c>
      <c r="BT11" s="3" t="s">
        <v>114</v>
      </c>
      <c r="BU11" s="3" t="s">
        <v>114</v>
      </c>
      <c r="BX11" s="3" t="s">
        <v>114</v>
      </c>
      <c r="BY11" s="3" t="s">
        <v>114</v>
      </c>
      <c r="BZ11" s="3">
        <v>0</v>
      </c>
      <c r="CA11" s="3" t="s">
        <v>114</v>
      </c>
      <c r="CB11" s="3" t="s">
        <v>114</v>
      </c>
      <c r="CC11" s="3" t="s">
        <v>114</v>
      </c>
      <c r="CD11" s="3" t="s">
        <v>114</v>
      </c>
      <c r="CE11" s="3" t="s">
        <v>114</v>
      </c>
      <c r="CF11" t="s">
        <v>114</v>
      </c>
      <c r="CG11" s="3" t="s">
        <v>114</v>
      </c>
      <c r="CH11" s="3" t="s">
        <v>114</v>
      </c>
      <c r="CI11" t="s">
        <v>114</v>
      </c>
      <c r="CJ11" t="s">
        <v>150</v>
      </c>
      <c r="CK11" s="3" t="s">
        <v>114</v>
      </c>
      <c r="CL11" s="3" t="s">
        <v>114</v>
      </c>
      <c r="CM11" s="3" t="s">
        <v>114</v>
      </c>
      <c r="CN11" s="3" t="s">
        <v>114</v>
      </c>
      <c r="CO11" s="3" t="s">
        <v>114</v>
      </c>
      <c r="CP11" s="2" t="s">
        <v>114</v>
      </c>
      <c r="CQ11" s="2" t="s">
        <v>114</v>
      </c>
      <c r="CR11" s="3" t="s">
        <v>114</v>
      </c>
      <c r="CS11" s="3" t="s">
        <v>114</v>
      </c>
      <c r="CT11" s="3" t="s">
        <v>114</v>
      </c>
      <c r="CU11" s="3" t="s">
        <v>114</v>
      </c>
      <c r="CV11" s="3" t="s">
        <v>114</v>
      </c>
      <c r="CW11" s="3">
        <f t="shared" si="0"/>
        <v>1.6932483463549095E-4</v>
      </c>
      <c r="CX11" s="3" t="s">
        <v>114</v>
      </c>
      <c r="CY11" s="3" t="s">
        <v>114</v>
      </c>
      <c r="CZ11" s="3">
        <v>0.24242461386712419</v>
      </c>
      <c r="DA11" s="3" t="s">
        <v>114</v>
      </c>
      <c r="DB11" s="3" t="s">
        <v>114</v>
      </c>
      <c r="DC11" s="7">
        <v>58655.504700000005</v>
      </c>
      <c r="DD11" s="7"/>
      <c r="DE11" t="s">
        <v>114</v>
      </c>
      <c r="DF11" s="3" t="s">
        <v>114</v>
      </c>
      <c r="DG11" t="s">
        <v>114</v>
      </c>
    </row>
    <row r="12" spans="1:111" x14ac:dyDescent="0.25">
      <c r="A12" t="s">
        <v>116</v>
      </c>
      <c r="B12" t="s">
        <v>117</v>
      </c>
      <c r="C12" t="s">
        <v>219</v>
      </c>
      <c r="D12" t="s">
        <v>220</v>
      </c>
      <c r="G12" s="2">
        <v>59</v>
      </c>
      <c r="I12" s="2">
        <v>0</v>
      </c>
      <c r="J12" s="2" t="s">
        <v>114</v>
      </c>
      <c r="K12" t="s">
        <v>114</v>
      </c>
      <c r="L12" s="3" t="s">
        <v>114</v>
      </c>
      <c r="M12" s="3" t="s">
        <v>114</v>
      </c>
      <c r="N12" s="3" t="s">
        <v>114</v>
      </c>
      <c r="O12" t="s">
        <v>114</v>
      </c>
      <c r="R12" t="s">
        <v>221</v>
      </c>
      <c r="S12" t="s">
        <v>114</v>
      </c>
      <c r="T12" t="s">
        <v>222</v>
      </c>
      <c r="U12" t="s">
        <v>114</v>
      </c>
      <c r="V12" t="s">
        <v>223</v>
      </c>
      <c r="W12" t="s">
        <v>197</v>
      </c>
      <c r="X12" t="s">
        <v>114</v>
      </c>
      <c r="Y12" t="s">
        <v>224</v>
      </c>
      <c r="Z12" t="s">
        <v>114</v>
      </c>
      <c r="AA12" t="s">
        <v>114</v>
      </c>
      <c r="AB12" s="3" t="s">
        <v>114</v>
      </c>
      <c r="AC12" s="3" t="s">
        <v>114</v>
      </c>
      <c r="AD12" s="3" t="s">
        <v>114</v>
      </c>
      <c r="AE12" s="3" t="s">
        <v>114</v>
      </c>
      <c r="AF12" s="3" t="s">
        <v>114</v>
      </c>
      <c r="AG12" s="3">
        <v>527603.13</v>
      </c>
      <c r="AH12" s="3" t="s">
        <v>114</v>
      </c>
      <c r="AI12" s="3" t="s">
        <v>114</v>
      </c>
      <c r="AJ12" s="3">
        <v>498688.53</v>
      </c>
      <c r="AK12" s="3" t="s">
        <v>114</v>
      </c>
      <c r="AL12" s="3" t="s">
        <v>114</v>
      </c>
      <c r="AM12" s="3" t="s">
        <v>114</v>
      </c>
      <c r="AN12" s="3" t="s">
        <v>114</v>
      </c>
      <c r="AO12" s="3" t="s">
        <v>114</v>
      </c>
      <c r="AP12" s="3" t="s">
        <v>114</v>
      </c>
      <c r="AQ12" s="3" t="s">
        <v>114</v>
      </c>
      <c r="AR12" s="3" t="s">
        <v>114</v>
      </c>
      <c r="AS12" s="3" t="s">
        <v>114</v>
      </c>
      <c r="AT12" s="3" t="s">
        <v>114</v>
      </c>
      <c r="AU12" s="3" t="s">
        <v>114</v>
      </c>
      <c r="AV12" s="3" t="s">
        <v>114</v>
      </c>
      <c r="AW12" s="3" t="s">
        <v>114</v>
      </c>
      <c r="AX12" t="s">
        <v>114</v>
      </c>
      <c r="AY12" t="s">
        <v>114</v>
      </c>
      <c r="AZ12" t="s">
        <v>114</v>
      </c>
      <c r="BA12" s="3">
        <v>0</v>
      </c>
      <c r="BB12" s="3" t="s">
        <v>114</v>
      </c>
      <c r="BC12" s="3" t="s">
        <v>114</v>
      </c>
      <c r="BD12" s="3" t="s">
        <v>114</v>
      </c>
      <c r="BM12" s="3" t="s">
        <v>114</v>
      </c>
      <c r="BP12" t="s">
        <v>225</v>
      </c>
      <c r="BT12" s="3" t="s">
        <v>114</v>
      </c>
      <c r="BU12" s="3" t="s">
        <v>114</v>
      </c>
      <c r="BX12" s="3" t="s">
        <v>114</v>
      </c>
      <c r="BY12" s="3" t="s">
        <v>114</v>
      </c>
      <c r="BZ12" s="3">
        <v>0</v>
      </c>
      <c r="CA12" s="3" t="s">
        <v>114</v>
      </c>
      <c r="CB12" s="3" t="s">
        <v>114</v>
      </c>
      <c r="CC12" s="3" t="s">
        <v>114</v>
      </c>
      <c r="CD12" s="3" t="s">
        <v>114</v>
      </c>
      <c r="CE12" s="3" t="s">
        <v>114</v>
      </c>
      <c r="CF12" t="s">
        <v>114</v>
      </c>
      <c r="CG12" s="3" t="s">
        <v>114</v>
      </c>
      <c r="CH12" s="3" t="s">
        <v>114</v>
      </c>
      <c r="CI12" t="s">
        <v>114</v>
      </c>
      <c r="CJ12" t="s">
        <v>226</v>
      </c>
      <c r="CK12" s="3" t="s">
        <v>114</v>
      </c>
      <c r="CL12" s="3" t="s">
        <v>114</v>
      </c>
      <c r="CM12" s="3" t="s">
        <v>114</v>
      </c>
      <c r="CN12" s="3" t="s">
        <v>114</v>
      </c>
      <c r="CO12" s="3" t="s">
        <v>114</v>
      </c>
      <c r="CP12" s="2" t="s">
        <v>114</v>
      </c>
      <c r="CQ12" s="2" t="s">
        <v>114</v>
      </c>
      <c r="CR12" s="3" t="s">
        <v>114</v>
      </c>
      <c r="CS12" s="3" t="s">
        <v>114</v>
      </c>
      <c r="CT12" s="3" t="s">
        <v>114</v>
      </c>
      <c r="CU12" s="3" t="s">
        <v>114</v>
      </c>
      <c r="CV12" s="3" t="s">
        <v>114</v>
      </c>
      <c r="CW12" s="3">
        <f t="shared" si="0"/>
        <v>1.797220046490199E-3</v>
      </c>
      <c r="CX12" s="3" t="s">
        <v>114</v>
      </c>
      <c r="CY12" s="3" t="s">
        <v>114</v>
      </c>
      <c r="CZ12" s="3">
        <v>1.2799153127272667</v>
      </c>
      <c r="DA12" s="3" t="s">
        <v>114</v>
      </c>
      <c r="DB12" s="3" t="s">
        <v>114</v>
      </c>
      <c r="DC12" s="7">
        <v>622571.692515</v>
      </c>
      <c r="DD12" s="7"/>
      <c r="DE12" t="s">
        <v>114</v>
      </c>
      <c r="DF12" s="3" t="s">
        <v>114</v>
      </c>
      <c r="DG12" t="s">
        <v>114</v>
      </c>
    </row>
    <row r="13" spans="1:111" x14ac:dyDescent="0.25">
      <c r="A13" t="s">
        <v>116</v>
      </c>
      <c r="B13" t="s">
        <v>152</v>
      </c>
      <c r="C13" t="s">
        <v>185</v>
      </c>
      <c r="D13" t="s">
        <v>154</v>
      </c>
      <c r="G13" s="2">
        <v>63</v>
      </c>
      <c r="I13" s="2">
        <v>0</v>
      </c>
      <c r="J13" s="2" t="s">
        <v>114</v>
      </c>
      <c r="K13" t="s">
        <v>114</v>
      </c>
      <c r="L13" s="3" t="s">
        <v>114</v>
      </c>
      <c r="M13" s="3" t="s">
        <v>114</v>
      </c>
      <c r="N13" s="3" t="s">
        <v>114</v>
      </c>
      <c r="O13" t="s">
        <v>114</v>
      </c>
      <c r="R13" t="s">
        <v>186</v>
      </c>
      <c r="S13" t="s">
        <v>114</v>
      </c>
      <c r="T13" t="s">
        <v>187</v>
      </c>
      <c r="U13" t="s">
        <v>114</v>
      </c>
      <c r="V13" t="s">
        <v>157</v>
      </c>
      <c r="W13" t="s">
        <v>158</v>
      </c>
      <c r="X13" t="s">
        <v>114</v>
      </c>
      <c r="Y13" t="s">
        <v>159</v>
      </c>
      <c r="Z13" t="s">
        <v>114</v>
      </c>
      <c r="AA13" t="s">
        <v>114</v>
      </c>
      <c r="AB13" s="3" t="s">
        <v>114</v>
      </c>
      <c r="AC13" s="3" t="s">
        <v>114</v>
      </c>
      <c r="AD13" s="3" t="s">
        <v>114</v>
      </c>
      <c r="AE13" s="3" t="s">
        <v>114</v>
      </c>
      <c r="AF13" s="3" t="s">
        <v>114</v>
      </c>
      <c r="AG13" s="3">
        <v>327283.87</v>
      </c>
      <c r="AH13" s="3" t="s">
        <v>114</v>
      </c>
      <c r="AI13" s="3" t="s">
        <v>114</v>
      </c>
      <c r="AJ13" s="3">
        <v>309885.83</v>
      </c>
      <c r="AK13" s="3" t="s">
        <v>114</v>
      </c>
      <c r="AL13" s="3" t="s">
        <v>114</v>
      </c>
      <c r="AM13" s="3" t="s">
        <v>114</v>
      </c>
      <c r="AN13" s="3" t="s">
        <v>114</v>
      </c>
      <c r="AO13" s="3" t="s">
        <v>114</v>
      </c>
      <c r="AP13" s="3" t="s">
        <v>114</v>
      </c>
      <c r="AQ13" s="3" t="s">
        <v>114</v>
      </c>
      <c r="AR13" s="3" t="s">
        <v>114</v>
      </c>
      <c r="AS13" s="3" t="s">
        <v>114</v>
      </c>
      <c r="AT13" s="3" t="s">
        <v>114</v>
      </c>
      <c r="AU13" s="3" t="s">
        <v>114</v>
      </c>
      <c r="AV13" s="3" t="s">
        <v>114</v>
      </c>
      <c r="AW13" s="3" t="s">
        <v>114</v>
      </c>
      <c r="AX13" t="s">
        <v>114</v>
      </c>
      <c r="AY13" t="s">
        <v>114</v>
      </c>
      <c r="AZ13" t="s">
        <v>114</v>
      </c>
      <c r="BA13" s="3">
        <v>120</v>
      </c>
      <c r="BB13" s="3" t="s">
        <v>114</v>
      </c>
      <c r="BC13" s="3" t="s">
        <v>114</v>
      </c>
      <c r="BD13" s="3" t="s">
        <v>114</v>
      </c>
      <c r="BM13" s="3" t="s">
        <v>114</v>
      </c>
      <c r="BP13" t="s">
        <v>160</v>
      </c>
      <c r="BT13" s="3" t="s">
        <v>114</v>
      </c>
      <c r="BU13" s="3" t="s">
        <v>114</v>
      </c>
      <c r="BX13" s="3" t="s">
        <v>114</v>
      </c>
      <c r="BY13" s="3" t="s">
        <v>114</v>
      </c>
      <c r="BZ13" s="3">
        <v>0</v>
      </c>
      <c r="CA13" s="3" t="s">
        <v>114</v>
      </c>
      <c r="CB13" s="3" t="s">
        <v>114</v>
      </c>
      <c r="CC13" s="3" t="s">
        <v>114</v>
      </c>
      <c r="CD13" s="3" t="s">
        <v>114</v>
      </c>
      <c r="CE13" s="3" t="s">
        <v>114</v>
      </c>
      <c r="CF13" t="s">
        <v>114</v>
      </c>
      <c r="CG13" s="3" t="s">
        <v>114</v>
      </c>
      <c r="CH13" s="3" t="s">
        <v>114</v>
      </c>
      <c r="CI13" t="s">
        <v>114</v>
      </c>
      <c r="CJ13" t="s">
        <v>161</v>
      </c>
      <c r="CK13" s="3" t="s">
        <v>114</v>
      </c>
      <c r="CL13" s="3" t="s">
        <v>114</v>
      </c>
      <c r="CM13" s="3" t="s">
        <v>114</v>
      </c>
      <c r="CN13" s="3" t="s">
        <v>114</v>
      </c>
      <c r="CO13" s="3" t="s">
        <v>114</v>
      </c>
      <c r="CP13" s="2" t="s">
        <v>114</v>
      </c>
      <c r="CQ13" s="2" t="s">
        <v>114</v>
      </c>
      <c r="CR13" s="3" t="s">
        <v>114</v>
      </c>
      <c r="CS13" s="3" t="s">
        <v>114</v>
      </c>
      <c r="CT13" s="3" t="s">
        <v>114</v>
      </c>
      <c r="CU13" s="3" t="s">
        <v>114</v>
      </c>
      <c r="CV13" s="3" t="s">
        <v>114</v>
      </c>
      <c r="CW13" s="3">
        <f t="shared" si="0"/>
        <v>5.9521935088566874E-2</v>
      </c>
      <c r="CX13" s="3" t="s">
        <v>114</v>
      </c>
      <c r="CY13" s="3" t="s">
        <v>114</v>
      </c>
      <c r="CZ13" s="3">
        <v>0.79395972654984082</v>
      </c>
      <c r="DA13" s="3" t="s">
        <v>114</v>
      </c>
      <c r="DB13" s="3" t="s">
        <v>114</v>
      </c>
      <c r="DC13" s="7">
        <v>20618884.116179999</v>
      </c>
      <c r="DD13" s="7"/>
      <c r="DE13" t="s">
        <v>114</v>
      </c>
      <c r="DF13" s="3" t="s">
        <v>114</v>
      </c>
      <c r="DG13" t="s">
        <v>114</v>
      </c>
    </row>
    <row r="14" spans="1:111" x14ac:dyDescent="0.25">
      <c r="A14" t="s">
        <v>116</v>
      </c>
      <c r="B14" t="s">
        <v>233</v>
      </c>
      <c r="C14" t="s">
        <v>114</v>
      </c>
      <c r="D14" t="s">
        <v>234</v>
      </c>
      <c r="G14" s="2">
        <v>77</v>
      </c>
      <c r="I14" s="2">
        <v>0</v>
      </c>
      <c r="J14" s="2" t="s">
        <v>114</v>
      </c>
      <c r="K14" t="s">
        <v>114</v>
      </c>
      <c r="L14" s="3" t="s">
        <v>114</v>
      </c>
      <c r="M14" s="3" t="s">
        <v>114</v>
      </c>
      <c r="N14" s="3" t="s">
        <v>114</v>
      </c>
      <c r="O14" t="s">
        <v>114</v>
      </c>
      <c r="R14" t="s">
        <v>235</v>
      </c>
      <c r="S14" t="s">
        <v>114</v>
      </c>
      <c r="T14" t="s">
        <v>236</v>
      </c>
      <c r="U14" t="s">
        <v>114</v>
      </c>
      <c r="V14" t="s">
        <v>237</v>
      </c>
      <c r="W14" t="s">
        <v>238</v>
      </c>
      <c r="X14" t="s">
        <v>114</v>
      </c>
      <c r="Y14" t="s">
        <v>238</v>
      </c>
      <c r="Z14" t="s">
        <v>114</v>
      </c>
      <c r="AA14" t="s">
        <v>114</v>
      </c>
      <c r="AB14" s="3" t="s">
        <v>114</v>
      </c>
      <c r="AC14" s="3" t="s">
        <v>114</v>
      </c>
      <c r="AD14" s="3" t="s">
        <v>114</v>
      </c>
      <c r="AE14" s="3" t="s">
        <v>114</v>
      </c>
      <c r="AF14" s="3" t="s">
        <v>114</v>
      </c>
      <c r="AG14" s="3">
        <v>2741617.71</v>
      </c>
      <c r="AH14" s="3" t="s">
        <v>114</v>
      </c>
      <c r="AI14" s="3" t="s">
        <v>114</v>
      </c>
      <c r="AJ14" s="3">
        <v>1500000</v>
      </c>
      <c r="AK14" s="3" t="s">
        <v>114</v>
      </c>
      <c r="AL14" s="3" t="s">
        <v>114</v>
      </c>
      <c r="AM14" s="3" t="s">
        <v>114</v>
      </c>
      <c r="AN14" s="3" t="s">
        <v>114</v>
      </c>
      <c r="AO14" s="3" t="s">
        <v>114</v>
      </c>
      <c r="AP14" s="3" t="s">
        <v>114</v>
      </c>
      <c r="AQ14" s="3" t="s">
        <v>114</v>
      </c>
      <c r="AR14" s="3" t="s">
        <v>114</v>
      </c>
      <c r="AS14" s="3" t="s">
        <v>114</v>
      </c>
      <c r="AT14" s="3" t="s">
        <v>114</v>
      </c>
      <c r="AU14" s="3" t="s">
        <v>114</v>
      </c>
      <c r="AV14" s="3" t="s">
        <v>114</v>
      </c>
      <c r="AW14" s="3" t="s">
        <v>114</v>
      </c>
      <c r="AX14" t="s">
        <v>114</v>
      </c>
      <c r="AY14" t="s">
        <v>114</v>
      </c>
      <c r="AZ14" t="s">
        <v>114</v>
      </c>
      <c r="BA14" s="3">
        <v>10.9</v>
      </c>
      <c r="BB14" s="3" t="s">
        <v>114</v>
      </c>
      <c r="BC14" s="3" t="s">
        <v>114</v>
      </c>
      <c r="BD14" s="3" t="s">
        <v>114</v>
      </c>
      <c r="BM14" s="3" t="s">
        <v>114</v>
      </c>
      <c r="BP14" t="s">
        <v>239</v>
      </c>
      <c r="BT14" s="3" t="s">
        <v>114</v>
      </c>
      <c r="BU14" s="3" t="s">
        <v>114</v>
      </c>
      <c r="BX14" s="3" t="s">
        <v>114</v>
      </c>
      <c r="BY14" s="3" t="s">
        <v>114</v>
      </c>
      <c r="BZ14" s="3">
        <v>0</v>
      </c>
      <c r="CA14" s="3" t="s">
        <v>114</v>
      </c>
      <c r="CB14" s="3" t="s">
        <v>114</v>
      </c>
      <c r="CC14" s="3" t="s">
        <v>114</v>
      </c>
      <c r="CD14" s="3" t="s">
        <v>114</v>
      </c>
      <c r="CE14" s="3" t="s">
        <v>114</v>
      </c>
      <c r="CF14" t="s">
        <v>114</v>
      </c>
      <c r="CG14" s="3" t="s">
        <v>114</v>
      </c>
      <c r="CH14" s="3" t="s">
        <v>114</v>
      </c>
      <c r="CI14" t="s">
        <v>114</v>
      </c>
      <c r="CJ14" t="s">
        <v>240</v>
      </c>
      <c r="CK14" s="3" t="s">
        <v>114</v>
      </c>
      <c r="CL14" s="3" t="s">
        <v>114</v>
      </c>
      <c r="CM14" s="3" t="s">
        <v>114</v>
      </c>
      <c r="CN14" s="3" t="s">
        <v>114</v>
      </c>
      <c r="CO14" s="3" t="s">
        <v>114</v>
      </c>
      <c r="CP14" s="2" t="s">
        <v>114</v>
      </c>
      <c r="CQ14" s="2" t="s">
        <v>114</v>
      </c>
      <c r="CR14" s="3" t="s">
        <v>114</v>
      </c>
      <c r="CS14" s="3" t="s">
        <v>114</v>
      </c>
      <c r="CT14" s="3" t="s">
        <v>114</v>
      </c>
      <c r="CU14" s="3" t="s">
        <v>114</v>
      </c>
      <c r="CV14" s="3" t="s">
        <v>114</v>
      </c>
      <c r="CW14" s="3">
        <f t="shared" si="0"/>
        <v>0.12188198015692625</v>
      </c>
      <c r="CX14" s="3" t="s">
        <v>114</v>
      </c>
      <c r="CY14" s="3" t="s">
        <v>114</v>
      </c>
      <c r="CZ14" s="3">
        <v>6.6509053664508455</v>
      </c>
      <c r="DA14" s="3" t="s">
        <v>114</v>
      </c>
      <c r="DB14" s="3" t="s">
        <v>114</v>
      </c>
      <c r="DC14" s="7">
        <v>42220912.693225421</v>
      </c>
      <c r="DD14" s="7"/>
      <c r="DE14" t="s">
        <v>114</v>
      </c>
      <c r="DF14" s="3" t="s">
        <v>114</v>
      </c>
      <c r="DG14" t="s">
        <v>114</v>
      </c>
    </row>
    <row r="15" spans="1:111" x14ac:dyDescent="0.25">
      <c r="A15" t="s">
        <v>116</v>
      </c>
      <c r="B15" t="s">
        <v>311</v>
      </c>
      <c r="C15" t="s">
        <v>114</v>
      </c>
      <c r="D15" t="s">
        <v>180</v>
      </c>
      <c r="G15" s="2">
        <v>89</v>
      </c>
      <c r="I15" s="2">
        <v>0</v>
      </c>
      <c r="J15" s="2" t="s">
        <v>114</v>
      </c>
      <c r="K15" t="s">
        <v>114</v>
      </c>
      <c r="L15" s="3" t="s">
        <v>114</v>
      </c>
      <c r="M15" s="3" t="s">
        <v>114</v>
      </c>
      <c r="N15" s="3" t="s">
        <v>114</v>
      </c>
      <c r="O15" t="s">
        <v>114</v>
      </c>
      <c r="R15" t="s">
        <v>249</v>
      </c>
      <c r="S15" t="s">
        <v>114</v>
      </c>
      <c r="T15" t="s">
        <v>214</v>
      </c>
      <c r="U15" t="s">
        <v>114</v>
      </c>
      <c r="V15" t="s">
        <v>183</v>
      </c>
      <c r="W15" t="s">
        <v>250</v>
      </c>
      <c r="X15" t="s">
        <v>114</v>
      </c>
      <c r="Y15" t="s">
        <v>140</v>
      </c>
      <c r="Z15" t="s">
        <v>114</v>
      </c>
      <c r="AA15" t="s">
        <v>114</v>
      </c>
      <c r="AB15" s="3" t="s">
        <v>114</v>
      </c>
      <c r="AC15" s="3" t="s">
        <v>114</v>
      </c>
      <c r="AD15" s="3" t="s">
        <v>114</v>
      </c>
      <c r="AE15" s="3" t="s">
        <v>114</v>
      </c>
      <c r="AF15" s="3" t="s">
        <v>114</v>
      </c>
      <c r="AG15" s="3">
        <v>981156.75</v>
      </c>
      <c r="AH15" s="3" t="s">
        <v>114</v>
      </c>
      <c r="AI15" s="3" t="s">
        <v>114</v>
      </c>
      <c r="AJ15" s="3">
        <v>1009690.36</v>
      </c>
      <c r="AK15" s="3" t="s">
        <v>114</v>
      </c>
      <c r="AL15" s="3" t="s">
        <v>114</v>
      </c>
      <c r="AM15" s="3" t="s">
        <v>114</v>
      </c>
      <c r="AN15" s="3" t="s">
        <v>114</v>
      </c>
      <c r="AO15" s="3" t="s">
        <v>114</v>
      </c>
      <c r="AP15" s="3" t="s">
        <v>114</v>
      </c>
      <c r="AQ15" s="3" t="s">
        <v>114</v>
      </c>
      <c r="AR15" s="3" t="s">
        <v>114</v>
      </c>
      <c r="AS15" s="3" t="s">
        <v>114</v>
      </c>
      <c r="AT15" s="3" t="s">
        <v>114</v>
      </c>
      <c r="AU15" s="3" t="s">
        <v>114</v>
      </c>
      <c r="AV15" s="3" t="s">
        <v>114</v>
      </c>
      <c r="AW15" s="3" t="s">
        <v>114</v>
      </c>
      <c r="AX15" t="s">
        <v>114</v>
      </c>
      <c r="AY15" t="s">
        <v>114</v>
      </c>
      <c r="AZ15" t="s">
        <v>114</v>
      </c>
      <c r="BA15" s="3">
        <v>4.3699982920659997</v>
      </c>
      <c r="BB15" s="3" t="s">
        <v>114</v>
      </c>
      <c r="BC15" s="3" t="s">
        <v>114</v>
      </c>
      <c r="BD15" s="3" t="s">
        <v>114</v>
      </c>
      <c r="BM15" s="3" t="s">
        <v>114</v>
      </c>
      <c r="BP15" t="s">
        <v>133</v>
      </c>
      <c r="BT15" s="3" t="s">
        <v>114</v>
      </c>
      <c r="BU15" s="3" t="s">
        <v>114</v>
      </c>
      <c r="BX15" s="3" t="s">
        <v>114</v>
      </c>
      <c r="BY15" s="3" t="s">
        <v>114</v>
      </c>
      <c r="BZ15" s="3">
        <v>0</v>
      </c>
      <c r="CA15" s="3" t="s">
        <v>114</v>
      </c>
      <c r="CB15" s="3" t="s">
        <v>114</v>
      </c>
      <c r="CC15" s="3" t="s">
        <v>114</v>
      </c>
      <c r="CD15" s="3" t="s">
        <v>114</v>
      </c>
      <c r="CE15" s="3" t="s">
        <v>114</v>
      </c>
      <c r="CF15" t="s">
        <v>114</v>
      </c>
      <c r="CG15" s="3" t="s">
        <v>114</v>
      </c>
      <c r="CH15" s="3" t="s">
        <v>114</v>
      </c>
      <c r="CI15" t="s">
        <v>114</v>
      </c>
      <c r="CJ15" t="s">
        <v>141</v>
      </c>
      <c r="CK15" s="3" t="s">
        <v>114</v>
      </c>
      <c r="CL15" s="3" t="s">
        <v>114</v>
      </c>
      <c r="CM15" s="3" t="s">
        <v>114</v>
      </c>
      <c r="CN15" s="3" t="s">
        <v>114</v>
      </c>
      <c r="CO15" s="3" t="s">
        <v>114</v>
      </c>
      <c r="CP15" s="2" t="s">
        <v>114</v>
      </c>
      <c r="CQ15" s="2" t="s">
        <v>114</v>
      </c>
      <c r="CR15" s="3" t="s">
        <v>114</v>
      </c>
      <c r="CS15" s="3" t="s">
        <v>114</v>
      </c>
      <c r="CT15" s="3" t="s">
        <v>114</v>
      </c>
      <c r="CU15" s="3" t="s">
        <v>114</v>
      </c>
      <c r="CV15" s="3" t="s">
        <v>114</v>
      </c>
      <c r="CW15" s="3">
        <f t="shared" si="0"/>
        <v>1.0591642910948798E-3</v>
      </c>
      <c r="CX15" s="3" t="s">
        <v>114</v>
      </c>
      <c r="CY15" s="3" t="s">
        <v>114</v>
      </c>
      <c r="CZ15" s="3">
        <v>2.3801935149829734</v>
      </c>
      <c r="DA15" s="3" t="s">
        <v>114</v>
      </c>
      <c r="DB15" s="3" t="s">
        <v>114</v>
      </c>
      <c r="DC15" s="7">
        <v>366903.15503999998</v>
      </c>
      <c r="DD15" s="7"/>
      <c r="DE15" t="s">
        <v>114</v>
      </c>
      <c r="DF15" s="3" t="s">
        <v>114</v>
      </c>
      <c r="DG15" t="s">
        <v>114</v>
      </c>
    </row>
    <row r="16" spans="1:111" x14ac:dyDescent="0.25">
      <c r="A16" t="s">
        <v>116</v>
      </c>
      <c r="B16" t="s">
        <v>310</v>
      </c>
      <c r="C16" t="s">
        <v>114</v>
      </c>
      <c r="D16" t="s">
        <v>200</v>
      </c>
      <c r="G16" s="2">
        <v>93</v>
      </c>
      <c r="I16" s="2">
        <v>0</v>
      </c>
      <c r="J16" s="2" t="s">
        <v>114</v>
      </c>
      <c r="K16" t="s">
        <v>114</v>
      </c>
      <c r="L16" s="3" t="s">
        <v>114</v>
      </c>
      <c r="M16" s="3" t="s">
        <v>114</v>
      </c>
      <c r="N16" s="3" t="s">
        <v>114</v>
      </c>
      <c r="O16" t="s">
        <v>114</v>
      </c>
      <c r="R16" t="s">
        <v>201</v>
      </c>
      <c r="S16" t="s">
        <v>114</v>
      </c>
      <c r="T16" t="s">
        <v>202</v>
      </c>
      <c r="U16" t="s">
        <v>114</v>
      </c>
      <c r="V16" t="s">
        <v>203</v>
      </c>
      <c r="W16" t="s">
        <v>204</v>
      </c>
      <c r="X16" t="s">
        <v>114</v>
      </c>
      <c r="Y16" t="s">
        <v>132</v>
      </c>
      <c r="Z16" t="s">
        <v>114</v>
      </c>
      <c r="AA16" t="s">
        <v>114</v>
      </c>
      <c r="AB16" s="3" t="s">
        <v>114</v>
      </c>
      <c r="AC16" s="3" t="s">
        <v>114</v>
      </c>
      <c r="AD16" s="3" t="s">
        <v>114</v>
      </c>
      <c r="AE16" s="3" t="s">
        <v>114</v>
      </c>
      <c r="AF16" s="3" t="s">
        <v>114</v>
      </c>
      <c r="AG16" s="3">
        <v>891353.41</v>
      </c>
      <c r="AH16" s="3" t="s">
        <v>114</v>
      </c>
      <c r="AI16" s="3" t="s">
        <v>114</v>
      </c>
      <c r="AJ16" s="3">
        <v>709570.37</v>
      </c>
      <c r="AK16" s="3" t="s">
        <v>114</v>
      </c>
      <c r="AL16" s="3" t="s">
        <v>114</v>
      </c>
      <c r="AM16" s="3" t="s">
        <v>114</v>
      </c>
      <c r="AN16" s="3" t="s">
        <v>114</v>
      </c>
      <c r="AO16" s="3" t="s">
        <v>114</v>
      </c>
      <c r="AP16" s="3" t="s">
        <v>114</v>
      </c>
      <c r="AQ16" s="3" t="s">
        <v>114</v>
      </c>
      <c r="AR16" s="3" t="s">
        <v>114</v>
      </c>
      <c r="AS16" s="3" t="s">
        <v>114</v>
      </c>
      <c r="AT16" s="3" t="s">
        <v>114</v>
      </c>
      <c r="AU16" s="3" t="s">
        <v>114</v>
      </c>
      <c r="AV16" s="3" t="s">
        <v>114</v>
      </c>
      <c r="AW16" s="3" t="s">
        <v>114</v>
      </c>
      <c r="AX16" t="s">
        <v>114</v>
      </c>
      <c r="AY16" t="s">
        <v>114</v>
      </c>
      <c r="AZ16" t="s">
        <v>114</v>
      </c>
      <c r="BA16" s="3">
        <v>-59.973452317185803</v>
      </c>
      <c r="BB16" s="3" t="s">
        <v>114</v>
      </c>
      <c r="BC16" s="3" t="s">
        <v>114</v>
      </c>
      <c r="BD16" s="3" t="s">
        <v>114</v>
      </c>
      <c r="BM16" s="3" t="s">
        <v>114</v>
      </c>
      <c r="BP16" t="s">
        <v>133</v>
      </c>
      <c r="BT16" s="3" t="s">
        <v>114</v>
      </c>
      <c r="BU16" s="3" t="s">
        <v>114</v>
      </c>
      <c r="BX16" s="3" t="s">
        <v>114</v>
      </c>
      <c r="BY16" s="3" t="s">
        <v>114</v>
      </c>
      <c r="BZ16" s="3">
        <v>0</v>
      </c>
      <c r="CA16" s="3" t="s">
        <v>114</v>
      </c>
      <c r="CB16" s="3" t="s">
        <v>114</v>
      </c>
      <c r="CC16" s="3" t="s">
        <v>114</v>
      </c>
      <c r="CD16" s="3" t="s">
        <v>114</v>
      </c>
      <c r="CE16" s="3" t="s">
        <v>114</v>
      </c>
      <c r="CF16" t="s">
        <v>114</v>
      </c>
      <c r="CG16" s="3" t="s">
        <v>114</v>
      </c>
      <c r="CH16" s="3" t="s">
        <v>114</v>
      </c>
      <c r="CI16" t="s">
        <v>114</v>
      </c>
      <c r="CJ16" t="s">
        <v>134</v>
      </c>
      <c r="CK16" s="3" t="s">
        <v>114</v>
      </c>
      <c r="CL16" s="3" t="s">
        <v>114</v>
      </c>
      <c r="CM16" s="3" t="s">
        <v>114</v>
      </c>
      <c r="CN16" s="3" t="s">
        <v>114</v>
      </c>
      <c r="CO16" s="3" t="s">
        <v>114</v>
      </c>
      <c r="CP16" s="2" t="s">
        <v>114</v>
      </c>
      <c r="CQ16" s="2" t="s">
        <v>114</v>
      </c>
      <c r="CR16" s="3" t="s">
        <v>114</v>
      </c>
      <c r="CS16" s="3" t="s">
        <v>114</v>
      </c>
      <c r="CT16" s="3" t="s">
        <v>114</v>
      </c>
      <c r="CU16" s="3" t="s">
        <v>114</v>
      </c>
      <c r="CV16" s="3" t="s">
        <v>114</v>
      </c>
      <c r="CW16" s="3">
        <f t="shared" si="0"/>
        <v>4.2009502489664856E-3</v>
      </c>
      <c r="CX16" s="3" t="s">
        <v>114</v>
      </c>
      <c r="CY16" s="3" t="s">
        <v>114</v>
      </c>
      <c r="CZ16" s="3">
        <v>2.1623391023299381</v>
      </c>
      <c r="DA16" s="3" t="s">
        <v>114</v>
      </c>
      <c r="DB16" s="3" t="s">
        <v>114</v>
      </c>
      <c r="DC16" s="7">
        <v>1455243.4532309999</v>
      </c>
      <c r="DD16" s="7"/>
      <c r="DE16" t="s">
        <v>114</v>
      </c>
      <c r="DF16" s="3" t="s">
        <v>114</v>
      </c>
      <c r="DG16" t="s">
        <v>114</v>
      </c>
    </row>
    <row r="17" spans="1:111" x14ac:dyDescent="0.25">
      <c r="A17" t="s">
        <v>116</v>
      </c>
      <c r="B17" t="s">
        <v>310</v>
      </c>
      <c r="C17" t="s">
        <v>114</v>
      </c>
      <c r="D17" t="s">
        <v>127</v>
      </c>
      <c r="G17" s="2">
        <v>96</v>
      </c>
      <c r="I17" s="2">
        <v>0</v>
      </c>
      <c r="J17" s="2" t="s">
        <v>114</v>
      </c>
      <c r="K17" t="s">
        <v>114</v>
      </c>
      <c r="L17" s="3" t="s">
        <v>114</v>
      </c>
      <c r="M17" s="3" t="s">
        <v>114</v>
      </c>
      <c r="N17" s="3" t="s">
        <v>114</v>
      </c>
      <c r="O17" t="s">
        <v>114</v>
      </c>
      <c r="R17" t="s">
        <v>128</v>
      </c>
      <c r="S17" t="s">
        <v>114</v>
      </c>
      <c r="T17" t="s">
        <v>129</v>
      </c>
      <c r="U17" t="s">
        <v>114</v>
      </c>
      <c r="V17" t="s">
        <v>130</v>
      </c>
      <c r="W17" t="s">
        <v>131</v>
      </c>
      <c r="X17" t="s">
        <v>114</v>
      </c>
      <c r="Y17" t="s">
        <v>132</v>
      </c>
      <c r="Z17" t="s">
        <v>114</v>
      </c>
      <c r="AA17" t="s">
        <v>114</v>
      </c>
      <c r="AB17" s="3" t="s">
        <v>114</v>
      </c>
      <c r="AC17" s="3" t="s">
        <v>114</v>
      </c>
      <c r="AD17" s="3" t="s">
        <v>114</v>
      </c>
      <c r="AE17" s="3" t="s">
        <v>114</v>
      </c>
      <c r="AF17" s="3" t="s">
        <v>114</v>
      </c>
      <c r="AG17" s="3">
        <v>249257.03</v>
      </c>
      <c r="AH17" s="3" t="s">
        <v>114</v>
      </c>
      <c r="AI17" s="3" t="s">
        <v>114</v>
      </c>
      <c r="AJ17" s="3">
        <v>201972.38</v>
      </c>
      <c r="AK17" s="3" t="s">
        <v>114</v>
      </c>
      <c r="AL17" s="3" t="s">
        <v>114</v>
      </c>
      <c r="AM17" s="3" t="s">
        <v>114</v>
      </c>
      <c r="AN17" s="3" t="s">
        <v>114</v>
      </c>
      <c r="AO17" s="3" t="s">
        <v>114</v>
      </c>
      <c r="AP17" s="3" t="s">
        <v>114</v>
      </c>
      <c r="AQ17" s="3" t="s">
        <v>114</v>
      </c>
      <c r="AR17" s="3" t="s">
        <v>114</v>
      </c>
      <c r="AS17" s="3" t="s">
        <v>114</v>
      </c>
      <c r="AT17" s="3" t="s">
        <v>114</v>
      </c>
      <c r="AU17" s="3" t="s">
        <v>114</v>
      </c>
      <c r="AV17" s="3" t="s">
        <v>114</v>
      </c>
      <c r="AW17" s="3" t="s">
        <v>114</v>
      </c>
      <c r="AX17" t="s">
        <v>114</v>
      </c>
      <c r="AY17" t="s">
        <v>114</v>
      </c>
      <c r="AZ17" t="s">
        <v>114</v>
      </c>
      <c r="BA17" s="3">
        <v>-36.499789626691395</v>
      </c>
      <c r="BB17" s="3" t="s">
        <v>114</v>
      </c>
      <c r="BC17" s="3" t="s">
        <v>114</v>
      </c>
      <c r="BD17" s="3" t="s">
        <v>114</v>
      </c>
      <c r="BM17" s="3" t="s">
        <v>114</v>
      </c>
      <c r="BP17" t="s">
        <v>133</v>
      </c>
      <c r="BT17" s="3" t="s">
        <v>114</v>
      </c>
      <c r="BU17" s="3" t="s">
        <v>114</v>
      </c>
      <c r="BX17" s="3" t="s">
        <v>114</v>
      </c>
      <c r="BY17" s="3" t="s">
        <v>114</v>
      </c>
      <c r="BZ17" s="3">
        <v>0</v>
      </c>
      <c r="CA17" s="3" t="s">
        <v>114</v>
      </c>
      <c r="CB17" s="3" t="s">
        <v>114</v>
      </c>
      <c r="CC17" s="3" t="s">
        <v>114</v>
      </c>
      <c r="CD17" s="3" t="s">
        <v>114</v>
      </c>
      <c r="CE17" s="3" t="s">
        <v>114</v>
      </c>
      <c r="CF17" t="s">
        <v>114</v>
      </c>
      <c r="CG17" s="3" t="s">
        <v>114</v>
      </c>
      <c r="CH17" s="3" t="s">
        <v>114</v>
      </c>
      <c r="CI17" t="s">
        <v>114</v>
      </c>
      <c r="CJ17" t="s">
        <v>134</v>
      </c>
      <c r="CK17" s="3" t="s">
        <v>114</v>
      </c>
      <c r="CL17" s="3" t="s">
        <v>114</v>
      </c>
      <c r="CM17" s="3" t="s">
        <v>114</v>
      </c>
      <c r="CN17" s="3" t="s">
        <v>114</v>
      </c>
      <c r="CO17" s="3" t="s">
        <v>114</v>
      </c>
      <c r="CP17" s="2" t="s">
        <v>114</v>
      </c>
      <c r="CQ17" s="2" t="s">
        <v>114</v>
      </c>
      <c r="CR17" s="3" t="s">
        <v>114</v>
      </c>
      <c r="CS17" s="3" t="s">
        <v>114</v>
      </c>
      <c r="CT17" s="3" t="s">
        <v>114</v>
      </c>
      <c r="CU17" s="3" t="s">
        <v>114</v>
      </c>
      <c r="CV17" s="3" t="s">
        <v>114</v>
      </c>
      <c r="CW17" s="3">
        <f t="shared" si="0"/>
        <v>4.3172832555580408E-3</v>
      </c>
      <c r="CX17" s="3" t="s">
        <v>114</v>
      </c>
      <c r="CY17" s="3" t="s">
        <v>114</v>
      </c>
      <c r="CZ17" s="3">
        <v>0.60467398952299556</v>
      </c>
      <c r="DA17" s="3" t="s">
        <v>114</v>
      </c>
      <c r="DB17" s="3" t="s">
        <v>114</v>
      </c>
      <c r="DC17" s="7">
        <v>1495542.156192</v>
      </c>
      <c r="DD17" s="7"/>
      <c r="DE17" t="s">
        <v>114</v>
      </c>
      <c r="DF17" s="3" t="s">
        <v>114</v>
      </c>
      <c r="DG17" t="s">
        <v>114</v>
      </c>
    </row>
    <row r="18" spans="1:111" x14ac:dyDescent="0.25">
      <c r="A18" t="s">
        <v>116</v>
      </c>
      <c r="B18" t="s">
        <v>311</v>
      </c>
      <c r="C18" t="s">
        <v>114</v>
      </c>
      <c r="D18" t="s">
        <v>180</v>
      </c>
      <c r="G18" s="2">
        <v>104</v>
      </c>
      <c r="I18" s="2">
        <v>0</v>
      </c>
      <c r="J18" s="2" t="s">
        <v>114</v>
      </c>
      <c r="K18" t="s">
        <v>114</v>
      </c>
      <c r="L18" s="3" t="s">
        <v>114</v>
      </c>
      <c r="M18" s="3" t="s">
        <v>114</v>
      </c>
      <c r="N18" s="3" t="s">
        <v>114</v>
      </c>
      <c r="O18" t="s">
        <v>114</v>
      </c>
      <c r="R18" t="s">
        <v>256</v>
      </c>
      <c r="S18" t="s">
        <v>114</v>
      </c>
      <c r="T18" t="s">
        <v>214</v>
      </c>
      <c r="U18" t="s">
        <v>114</v>
      </c>
      <c r="V18" t="s">
        <v>183</v>
      </c>
      <c r="W18" t="s">
        <v>257</v>
      </c>
      <c r="X18" t="s">
        <v>114</v>
      </c>
      <c r="Y18" t="s">
        <v>140</v>
      </c>
      <c r="Z18" t="s">
        <v>114</v>
      </c>
      <c r="AA18" t="s">
        <v>114</v>
      </c>
      <c r="AB18" s="3" t="s">
        <v>114</v>
      </c>
      <c r="AC18" s="3" t="s">
        <v>114</v>
      </c>
      <c r="AD18" s="3" t="s">
        <v>114</v>
      </c>
      <c r="AE18" s="3" t="s">
        <v>114</v>
      </c>
      <c r="AF18" s="3" t="s">
        <v>114</v>
      </c>
      <c r="AG18" s="3">
        <v>956421.71</v>
      </c>
      <c r="AH18" s="3" t="s">
        <v>114</v>
      </c>
      <c r="AI18" s="3" t="s">
        <v>114</v>
      </c>
      <c r="AJ18" s="3">
        <v>1000495.94</v>
      </c>
      <c r="AK18" s="3" t="s">
        <v>114</v>
      </c>
      <c r="AL18" s="3" t="s">
        <v>114</v>
      </c>
      <c r="AM18" s="3" t="s">
        <v>114</v>
      </c>
      <c r="AN18" s="3" t="s">
        <v>114</v>
      </c>
      <c r="AO18" s="3" t="s">
        <v>114</v>
      </c>
      <c r="AP18" s="3" t="s">
        <v>114</v>
      </c>
      <c r="AQ18" s="3" t="s">
        <v>114</v>
      </c>
      <c r="AR18" s="3" t="s">
        <v>114</v>
      </c>
      <c r="AS18" s="3" t="s">
        <v>114</v>
      </c>
      <c r="AT18" s="3" t="s">
        <v>114</v>
      </c>
      <c r="AU18" s="3" t="s">
        <v>114</v>
      </c>
      <c r="AV18" s="3" t="s">
        <v>114</v>
      </c>
      <c r="AW18" s="3" t="s">
        <v>114</v>
      </c>
      <c r="AX18" t="s">
        <v>114</v>
      </c>
      <c r="AY18" t="s">
        <v>114</v>
      </c>
      <c r="AZ18" t="s">
        <v>114</v>
      </c>
      <c r="BA18" s="3">
        <v>6</v>
      </c>
      <c r="BB18" s="3" t="s">
        <v>114</v>
      </c>
      <c r="BC18" s="3" t="s">
        <v>114</v>
      </c>
      <c r="BD18" s="3" t="s">
        <v>114</v>
      </c>
      <c r="BM18" s="3" t="s">
        <v>114</v>
      </c>
      <c r="BP18" t="s">
        <v>133</v>
      </c>
      <c r="BT18" s="3" t="s">
        <v>114</v>
      </c>
      <c r="BU18" s="3" t="s">
        <v>114</v>
      </c>
      <c r="BX18" s="3" t="s">
        <v>114</v>
      </c>
      <c r="BY18" s="3" t="s">
        <v>114</v>
      </c>
      <c r="BZ18" s="3">
        <v>0</v>
      </c>
      <c r="CA18" s="3" t="s">
        <v>114</v>
      </c>
      <c r="CB18" s="3" t="s">
        <v>114</v>
      </c>
      <c r="CC18" s="3" t="s">
        <v>114</v>
      </c>
      <c r="CD18" s="3" t="s">
        <v>114</v>
      </c>
      <c r="CE18" s="3" t="s">
        <v>114</v>
      </c>
      <c r="CF18" t="s">
        <v>114</v>
      </c>
      <c r="CG18" s="3" t="s">
        <v>114</v>
      </c>
      <c r="CH18" s="3" t="s">
        <v>114</v>
      </c>
      <c r="CI18" t="s">
        <v>114</v>
      </c>
      <c r="CJ18" t="s">
        <v>141</v>
      </c>
      <c r="CK18" s="3" t="s">
        <v>114</v>
      </c>
      <c r="CL18" s="3" t="s">
        <v>114</v>
      </c>
      <c r="CM18" s="3" t="s">
        <v>114</v>
      </c>
      <c r="CN18" s="3" t="s">
        <v>114</v>
      </c>
      <c r="CO18" s="3" t="s">
        <v>114</v>
      </c>
      <c r="CP18" s="2" t="s">
        <v>114</v>
      </c>
      <c r="CQ18" s="2" t="s">
        <v>114</v>
      </c>
      <c r="CR18" s="3" t="s">
        <v>114</v>
      </c>
      <c r="CS18" s="3" t="s">
        <v>114</v>
      </c>
      <c r="CT18" s="3" t="s">
        <v>114</v>
      </c>
      <c r="CU18" s="3" t="s">
        <v>114</v>
      </c>
      <c r="CV18" s="3" t="s">
        <v>114</v>
      </c>
      <c r="CW18" s="3">
        <f t="shared" si="0"/>
        <v>1.2376751266726686E-3</v>
      </c>
      <c r="CX18" s="3" t="s">
        <v>114</v>
      </c>
      <c r="CY18" s="3" t="s">
        <v>114</v>
      </c>
      <c r="CZ18" s="3">
        <v>2.3201886464430133</v>
      </c>
      <c r="DA18" s="3" t="s">
        <v>114</v>
      </c>
      <c r="DB18" s="3" t="s">
        <v>114</v>
      </c>
      <c r="DC18" s="7">
        <v>428740.76543999999</v>
      </c>
      <c r="DD18" s="7"/>
      <c r="DE18" t="s">
        <v>114</v>
      </c>
      <c r="DF18" s="3" t="s">
        <v>114</v>
      </c>
      <c r="DG18" t="s">
        <v>114</v>
      </c>
    </row>
    <row r="19" spans="1:111" x14ac:dyDescent="0.25">
      <c r="A19" t="s">
        <v>116</v>
      </c>
      <c r="B19" t="s">
        <v>311</v>
      </c>
      <c r="C19" t="s">
        <v>114</v>
      </c>
      <c r="D19" t="s">
        <v>180</v>
      </c>
      <c r="G19" s="2">
        <v>110</v>
      </c>
      <c r="I19" s="2">
        <v>0</v>
      </c>
      <c r="J19" s="2" t="s">
        <v>114</v>
      </c>
      <c r="K19" t="s">
        <v>114</v>
      </c>
      <c r="L19" s="3" t="s">
        <v>114</v>
      </c>
      <c r="M19" s="3" t="s">
        <v>114</v>
      </c>
      <c r="N19" s="3" t="s">
        <v>114</v>
      </c>
      <c r="O19" t="s">
        <v>114</v>
      </c>
      <c r="R19" t="s">
        <v>268</v>
      </c>
      <c r="S19" t="s">
        <v>114</v>
      </c>
      <c r="T19" t="s">
        <v>214</v>
      </c>
      <c r="U19" t="s">
        <v>114</v>
      </c>
      <c r="V19" t="s">
        <v>183</v>
      </c>
      <c r="W19" t="s">
        <v>269</v>
      </c>
      <c r="X19" t="s">
        <v>114</v>
      </c>
      <c r="Y19" t="s">
        <v>140</v>
      </c>
      <c r="Z19" t="s">
        <v>114</v>
      </c>
      <c r="AA19" t="s">
        <v>114</v>
      </c>
      <c r="AB19" s="3" t="s">
        <v>114</v>
      </c>
      <c r="AC19" s="3" t="s">
        <v>114</v>
      </c>
      <c r="AD19" s="3" t="s">
        <v>114</v>
      </c>
      <c r="AE19" s="3" t="s">
        <v>114</v>
      </c>
      <c r="AF19" s="3" t="s">
        <v>114</v>
      </c>
      <c r="AG19" s="3">
        <v>494700.88</v>
      </c>
      <c r="AH19" s="3" t="s">
        <v>114</v>
      </c>
      <c r="AI19" s="3" t="s">
        <v>114</v>
      </c>
      <c r="AJ19" s="3">
        <v>500602.8</v>
      </c>
      <c r="AK19" s="3" t="s">
        <v>114</v>
      </c>
      <c r="AL19" s="3" t="s">
        <v>114</v>
      </c>
      <c r="AM19" s="3" t="s">
        <v>114</v>
      </c>
      <c r="AN19" s="3" t="s">
        <v>114</v>
      </c>
      <c r="AO19" s="3" t="s">
        <v>114</v>
      </c>
      <c r="AP19" s="3" t="s">
        <v>114</v>
      </c>
      <c r="AQ19" s="3" t="s">
        <v>114</v>
      </c>
      <c r="AR19" s="3" t="s">
        <v>114</v>
      </c>
      <c r="AS19" s="3" t="s">
        <v>114</v>
      </c>
      <c r="AT19" s="3" t="s">
        <v>114</v>
      </c>
      <c r="AU19" s="3" t="s">
        <v>114</v>
      </c>
      <c r="AV19" s="3" t="s">
        <v>114</v>
      </c>
      <c r="AW19" s="3" t="s">
        <v>114</v>
      </c>
      <c r="AX19" t="s">
        <v>114</v>
      </c>
      <c r="AY19" t="s">
        <v>114</v>
      </c>
      <c r="AZ19" t="s">
        <v>114</v>
      </c>
      <c r="BA19" s="3">
        <v>0</v>
      </c>
      <c r="BB19" s="3" t="s">
        <v>114</v>
      </c>
      <c r="BC19" s="3" t="s">
        <v>114</v>
      </c>
      <c r="BD19" s="3" t="s">
        <v>114</v>
      </c>
      <c r="BM19" s="3" t="s">
        <v>114</v>
      </c>
      <c r="BP19" t="s">
        <v>133</v>
      </c>
      <c r="BT19" s="3" t="s">
        <v>114</v>
      </c>
      <c r="BU19" s="3" t="s">
        <v>114</v>
      </c>
      <c r="BX19" s="3" t="s">
        <v>114</v>
      </c>
      <c r="BY19" s="3" t="s">
        <v>114</v>
      </c>
      <c r="BZ19" s="3">
        <v>0</v>
      </c>
      <c r="CA19" s="3" t="s">
        <v>114</v>
      </c>
      <c r="CB19" s="3" t="s">
        <v>114</v>
      </c>
      <c r="CC19" s="3" t="s">
        <v>114</v>
      </c>
      <c r="CD19" s="3" t="s">
        <v>114</v>
      </c>
      <c r="CE19" s="3" t="s">
        <v>114</v>
      </c>
      <c r="CF19" t="s">
        <v>114</v>
      </c>
      <c r="CG19" s="3" t="s">
        <v>114</v>
      </c>
      <c r="CH19" s="3" t="s">
        <v>114</v>
      </c>
      <c r="CI19" t="s">
        <v>114</v>
      </c>
      <c r="CJ19" t="s">
        <v>141</v>
      </c>
      <c r="CK19" s="3" t="s">
        <v>114</v>
      </c>
      <c r="CL19" s="3" t="s">
        <v>114</v>
      </c>
      <c r="CM19" s="3" t="s">
        <v>114</v>
      </c>
      <c r="CN19" s="3" t="s">
        <v>114</v>
      </c>
      <c r="CO19" s="3" t="s">
        <v>114</v>
      </c>
      <c r="CP19" s="2" t="s">
        <v>114</v>
      </c>
      <c r="CQ19" s="2" t="s">
        <v>114</v>
      </c>
      <c r="CR19" s="3" t="s">
        <v>114</v>
      </c>
      <c r="CS19" s="3" t="s">
        <v>114</v>
      </c>
      <c r="CT19" s="3" t="s">
        <v>114</v>
      </c>
      <c r="CU19" s="3" t="s">
        <v>114</v>
      </c>
      <c r="CV19" s="3" t="s">
        <v>114</v>
      </c>
      <c r="CW19" s="3">
        <f t="shared" si="0"/>
        <v>1.309079460903784E-3</v>
      </c>
      <c r="CX19" s="3" t="s">
        <v>114</v>
      </c>
      <c r="CY19" s="3" t="s">
        <v>114</v>
      </c>
      <c r="CZ19" s="3">
        <v>1.2000975648716377</v>
      </c>
      <c r="DA19" s="3" t="s">
        <v>114</v>
      </c>
      <c r="DB19" s="3" t="s">
        <v>114</v>
      </c>
      <c r="DC19" s="7">
        <v>453475.80959999998</v>
      </c>
      <c r="DD19" s="7"/>
      <c r="DE19" t="s">
        <v>114</v>
      </c>
      <c r="DF19" s="3" t="s">
        <v>114</v>
      </c>
      <c r="DG19" t="s">
        <v>114</v>
      </c>
    </row>
    <row r="20" spans="1:111" x14ac:dyDescent="0.25">
      <c r="A20" t="s">
        <v>116</v>
      </c>
      <c r="B20" t="s">
        <v>117</v>
      </c>
      <c r="C20" t="s">
        <v>162</v>
      </c>
      <c r="D20" t="s">
        <v>163</v>
      </c>
      <c r="G20" s="2">
        <v>140</v>
      </c>
      <c r="I20" s="2">
        <v>0</v>
      </c>
      <c r="J20" s="2" t="s">
        <v>114</v>
      </c>
      <c r="K20" t="s">
        <v>114</v>
      </c>
      <c r="L20" s="3" t="s">
        <v>114</v>
      </c>
      <c r="M20" s="3" t="s">
        <v>114</v>
      </c>
      <c r="N20" s="3" t="s">
        <v>114</v>
      </c>
      <c r="O20" t="s">
        <v>114</v>
      </c>
      <c r="R20" t="s">
        <v>164</v>
      </c>
      <c r="S20" t="s">
        <v>114</v>
      </c>
      <c r="T20" t="s">
        <v>165</v>
      </c>
      <c r="U20" t="s">
        <v>114</v>
      </c>
      <c r="V20" t="s">
        <v>166</v>
      </c>
      <c r="W20" t="s">
        <v>123</v>
      </c>
      <c r="X20" t="s">
        <v>114</v>
      </c>
      <c r="Y20" t="s">
        <v>167</v>
      </c>
      <c r="Z20" t="s">
        <v>114</v>
      </c>
      <c r="AA20" t="s">
        <v>114</v>
      </c>
      <c r="AB20" s="3" t="s">
        <v>114</v>
      </c>
      <c r="AC20" s="3" t="s">
        <v>114</v>
      </c>
      <c r="AD20" s="3" t="s">
        <v>114</v>
      </c>
      <c r="AE20" s="3" t="s">
        <v>114</v>
      </c>
      <c r="AF20" s="3" t="s">
        <v>114</v>
      </c>
      <c r="AG20" s="3">
        <v>165770.13</v>
      </c>
      <c r="AH20" s="3" t="s">
        <v>114</v>
      </c>
      <c r="AI20" s="3" t="s">
        <v>114</v>
      </c>
      <c r="AJ20" s="3">
        <v>164871.74</v>
      </c>
      <c r="AK20" s="3" t="s">
        <v>114</v>
      </c>
      <c r="AL20" s="3" t="s">
        <v>114</v>
      </c>
      <c r="AM20" s="3" t="s">
        <v>114</v>
      </c>
      <c r="AN20" s="3" t="s">
        <v>114</v>
      </c>
      <c r="AO20" s="3" t="s">
        <v>114</v>
      </c>
      <c r="AP20" s="3" t="s">
        <v>114</v>
      </c>
      <c r="AQ20" s="3" t="s">
        <v>114</v>
      </c>
      <c r="AR20" s="3" t="s">
        <v>114</v>
      </c>
      <c r="AS20" s="3" t="s">
        <v>114</v>
      </c>
      <c r="AT20" s="3" t="s">
        <v>114</v>
      </c>
      <c r="AU20" s="3" t="s">
        <v>114</v>
      </c>
      <c r="AV20" s="3" t="s">
        <v>114</v>
      </c>
      <c r="AW20" s="3" t="s">
        <v>114</v>
      </c>
      <c r="AX20" t="s">
        <v>114</v>
      </c>
      <c r="AY20" t="s">
        <v>114</v>
      </c>
      <c r="AZ20" t="s">
        <v>114</v>
      </c>
      <c r="BA20" s="3">
        <v>1.7829284072630001</v>
      </c>
      <c r="BB20" s="3" t="s">
        <v>114</v>
      </c>
      <c r="BC20" s="3" t="s">
        <v>114</v>
      </c>
      <c r="BD20" s="3" t="s">
        <v>114</v>
      </c>
      <c r="BM20" s="3" t="s">
        <v>114</v>
      </c>
      <c r="BP20" t="s">
        <v>168</v>
      </c>
      <c r="BT20" s="3" t="s">
        <v>114</v>
      </c>
      <c r="BU20" s="3" t="s">
        <v>114</v>
      </c>
      <c r="BX20" s="3" t="s">
        <v>114</v>
      </c>
      <c r="BY20" s="3" t="s">
        <v>114</v>
      </c>
      <c r="BZ20" s="3">
        <v>0</v>
      </c>
      <c r="CA20" s="3" t="s">
        <v>114</v>
      </c>
      <c r="CB20" s="3" t="s">
        <v>114</v>
      </c>
      <c r="CC20" s="3" t="s">
        <v>114</v>
      </c>
      <c r="CD20" s="3" t="s">
        <v>114</v>
      </c>
      <c r="CE20" s="3" t="s">
        <v>114</v>
      </c>
      <c r="CF20" t="s">
        <v>114</v>
      </c>
      <c r="CG20" s="3" t="s">
        <v>114</v>
      </c>
      <c r="CH20" s="3" t="s">
        <v>114</v>
      </c>
      <c r="CI20" t="s">
        <v>114</v>
      </c>
      <c r="CJ20" t="s">
        <v>169</v>
      </c>
      <c r="CK20" s="3" t="s">
        <v>114</v>
      </c>
      <c r="CL20" s="3" t="s">
        <v>114</v>
      </c>
      <c r="CM20" s="3" t="s">
        <v>114</v>
      </c>
      <c r="CN20" s="3" t="s">
        <v>114</v>
      </c>
      <c r="CO20" s="3" t="s">
        <v>114</v>
      </c>
      <c r="CP20" s="2" t="s">
        <v>114</v>
      </c>
      <c r="CQ20" s="2" t="s">
        <v>114</v>
      </c>
      <c r="CR20" s="3" t="s">
        <v>114</v>
      </c>
      <c r="CS20" s="3" t="s">
        <v>114</v>
      </c>
      <c r="CT20" s="3" t="s">
        <v>114</v>
      </c>
      <c r="CU20" s="3" t="s">
        <v>114</v>
      </c>
      <c r="CV20" s="3" t="s">
        <v>114</v>
      </c>
      <c r="CW20" s="3">
        <f t="shared" si="0"/>
        <v>1.5466822470817851E-3</v>
      </c>
      <c r="CX20" s="3" t="s">
        <v>114</v>
      </c>
      <c r="CY20" s="3" t="s">
        <v>114</v>
      </c>
      <c r="CZ20" s="3">
        <v>0.40214266314111835</v>
      </c>
      <c r="DA20" s="3" t="s">
        <v>114</v>
      </c>
      <c r="DB20" s="3" t="s">
        <v>114</v>
      </c>
      <c r="DC20" s="7">
        <v>535783.35398000001</v>
      </c>
      <c r="DD20" s="7"/>
      <c r="DE20" t="s">
        <v>114</v>
      </c>
      <c r="DF20" s="3" t="s">
        <v>114</v>
      </c>
      <c r="DG20" t="s">
        <v>114</v>
      </c>
    </row>
    <row r="21" spans="1:111" x14ac:dyDescent="0.25">
      <c r="A21" t="s">
        <v>116</v>
      </c>
      <c r="B21" t="s">
        <v>311</v>
      </c>
      <c r="C21" t="s">
        <v>114</v>
      </c>
      <c r="D21" t="s">
        <v>180</v>
      </c>
      <c r="G21" s="2">
        <v>143</v>
      </c>
      <c r="I21" s="2">
        <v>0</v>
      </c>
      <c r="J21" s="2" t="s">
        <v>114</v>
      </c>
      <c r="K21" t="s">
        <v>114</v>
      </c>
      <c r="L21" s="3" t="s">
        <v>114</v>
      </c>
      <c r="M21" s="3" t="s">
        <v>114</v>
      </c>
      <c r="N21" s="3" t="s">
        <v>114</v>
      </c>
      <c r="O21" t="s">
        <v>114</v>
      </c>
      <c r="R21" t="s">
        <v>271</v>
      </c>
      <c r="S21" t="s">
        <v>114</v>
      </c>
      <c r="T21" t="s">
        <v>214</v>
      </c>
      <c r="U21" t="s">
        <v>114</v>
      </c>
      <c r="V21" t="s">
        <v>183</v>
      </c>
      <c r="W21" t="s">
        <v>272</v>
      </c>
      <c r="X21" t="s">
        <v>114</v>
      </c>
      <c r="Y21" t="s">
        <v>140</v>
      </c>
      <c r="Z21" t="s">
        <v>114</v>
      </c>
      <c r="AA21" t="s">
        <v>114</v>
      </c>
      <c r="AB21" s="3" t="s">
        <v>114</v>
      </c>
      <c r="AC21" s="3" t="s">
        <v>114</v>
      </c>
      <c r="AD21" s="3" t="s">
        <v>114</v>
      </c>
      <c r="AE21" s="3" t="s">
        <v>114</v>
      </c>
      <c r="AF21" s="3" t="s">
        <v>114</v>
      </c>
      <c r="AG21" s="3">
        <v>243227.93</v>
      </c>
      <c r="AH21" s="3" t="s">
        <v>114</v>
      </c>
      <c r="AI21" s="3" t="s">
        <v>114</v>
      </c>
      <c r="AJ21" s="3">
        <v>252002.51</v>
      </c>
      <c r="AK21" s="3" t="s">
        <v>114</v>
      </c>
      <c r="AL21" s="3" t="s">
        <v>114</v>
      </c>
      <c r="AM21" s="3" t="s">
        <v>114</v>
      </c>
      <c r="AN21" s="3" t="s">
        <v>114</v>
      </c>
      <c r="AO21" s="3" t="s">
        <v>114</v>
      </c>
      <c r="AP21" s="3" t="s">
        <v>114</v>
      </c>
      <c r="AQ21" s="3" t="s">
        <v>114</v>
      </c>
      <c r="AR21" s="3" t="s">
        <v>114</v>
      </c>
      <c r="AS21" s="3" t="s">
        <v>114</v>
      </c>
      <c r="AT21" s="3" t="s">
        <v>114</v>
      </c>
      <c r="AU21" s="3" t="s">
        <v>114</v>
      </c>
      <c r="AV21" s="3" t="s">
        <v>114</v>
      </c>
      <c r="AW21" s="3" t="s">
        <v>114</v>
      </c>
      <c r="AX21" t="s">
        <v>114</v>
      </c>
      <c r="AY21" t="s">
        <v>114</v>
      </c>
      <c r="AZ21" t="s">
        <v>114</v>
      </c>
      <c r="BA21" s="3">
        <v>6.1689999999999996</v>
      </c>
      <c r="BB21" s="3" t="s">
        <v>114</v>
      </c>
      <c r="BC21" s="3" t="s">
        <v>114</v>
      </c>
      <c r="BD21" s="3" t="s">
        <v>114</v>
      </c>
      <c r="BM21" s="3" t="s">
        <v>114</v>
      </c>
      <c r="BP21" t="s">
        <v>133</v>
      </c>
      <c r="BT21" s="3" t="s">
        <v>114</v>
      </c>
      <c r="BU21" s="3" t="s">
        <v>114</v>
      </c>
      <c r="BX21" s="3" t="s">
        <v>114</v>
      </c>
      <c r="BY21" s="3" t="s">
        <v>114</v>
      </c>
      <c r="BZ21" s="3">
        <v>0</v>
      </c>
      <c r="CA21" s="3" t="s">
        <v>114</v>
      </c>
      <c r="CB21" s="3" t="s">
        <v>114</v>
      </c>
      <c r="CC21" s="3" t="s">
        <v>114</v>
      </c>
      <c r="CD21" s="3" t="s">
        <v>114</v>
      </c>
      <c r="CE21" s="3" t="s">
        <v>114</v>
      </c>
      <c r="CF21" t="s">
        <v>114</v>
      </c>
      <c r="CG21" s="3" t="s">
        <v>114</v>
      </c>
      <c r="CH21" s="3" t="s">
        <v>114</v>
      </c>
      <c r="CI21" t="s">
        <v>114</v>
      </c>
      <c r="CJ21" t="s">
        <v>141</v>
      </c>
      <c r="CK21" s="3" t="s">
        <v>114</v>
      </c>
      <c r="CL21" s="3" t="s">
        <v>114</v>
      </c>
      <c r="CM21" s="3" t="s">
        <v>114</v>
      </c>
      <c r="CN21" s="3" t="s">
        <v>114</v>
      </c>
      <c r="CO21" s="3" t="s">
        <v>114</v>
      </c>
      <c r="CP21" s="2" t="s">
        <v>114</v>
      </c>
      <c r="CQ21" s="2" t="s">
        <v>114</v>
      </c>
      <c r="CR21" s="3" t="s">
        <v>114</v>
      </c>
      <c r="CS21" s="3" t="s">
        <v>114</v>
      </c>
      <c r="CT21" s="3" t="s">
        <v>114</v>
      </c>
      <c r="CU21" s="3" t="s">
        <v>114</v>
      </c>
      <c r="CV21" s="3" t="s">
        <v>114</v>
      </c>
      <c r="CW21" s="3">
        <f t="shared" si="0"/>
        <v>1.7018032991749192E-3</v>
      </c>
      <c r="CX21" s="3" t="s">
        <v>114</v>
      </c>
      <c r="CY21" s="3" t="s">
        <v>114</v>
      </c>
      <c r="CZ21" s="3">
        <v>0.5900479629261407</v>
      </c>
      <c r="DA21" s="3" t="s">
        <v>114</v>
      </c>
      <c r="DB21" s="3" t="s">
        <v>114</v>
      </c>
      <c r="DC21" s="7">
        <v>589518.55247999995</v>
      </c>
      <c r="DD21" s="7"/>
      <c r="DE21" t="s">
        <v>114</v>
      </c>
      <c r="DF21" s="3" t="s">
        <v>114</v>
      </c>
      <c r="DG21" t="s">
        <v>114</v>
      </c>
    </row>
    <row r="22" spans="1:111" x14ac:dyDescent="0.25">
      <c r="A22" t="s">
        <v>116</v>
      </c>
      <c r="B22" t="s">
        <v>258</v>
      </c>
      <c r="C22" t="s">
        <v>273</v>
      </c>
      <c r="D22" t="s">
        <v>274</v>
      </c>
      <c r="G22" s="2">
        <v>156</v>
      </c>
      <c r="I22" s="2">
        <v>0</v>
      </c>
      <c r="J22" s="2" t="s">
        <v>114</v>
      </c>
      <c r="K22" t="s">
        <v>114</v>
      </c>
      <c r="L22" s="3" t="s">
        <v>114</v>
      </c>
      <c r="M22" s="3" t="s">
        <v>114</v>
      </c>
      <c r="N22" s="3" t="s">
        <v>114</v>
      </c>
      <c r="O22" t="s">
        <v>114</v>
      </c>
      <c r="R22" t="s">
        <v>275</v>
      </c>
      <c r="S22" t="s">
        <v>114</v>
      </c>
      <c r="T22" t="s">
        <v>276</v>
      </c>
      <c r="U22" t="s">
        <v>114</v>
      </c>
      <c r="V22" t="s">
        <v>175</v>
      </c>
      <c r="W22" t="s">
        <v>176</v>
      </c>
      <c r="X22" t="s">
        <v>114</v>
      </c>
      <c r="Y22" t="s">
        <v>277</v>
      </c>
      <c r="Z22" t="s">
        <v>114</v>
      </c>
      <c r="AA22" t="s">
        <v>114</v>
      </c>
      <c r="AB22" s="3" t="s">
        <v>114</v>
      </c>
      <c r="AC22" s="3" t="s">
        <v>114</v>
      </c>
      <c r="AD22" s="3" t="s">
        <v>114</v>
      </c>
      <c r="AE22" s="3" t="s">
        <v>114</v>
      </c>
      <c r="AF22" s="3" t="s">
        <v>114</v>
      </c>
      <c r="AG22" s="3">
        <v>580581.82999999996</v>
      </c>
      <c r="AH22" s="3" t="s">
        <v>114</v>
      </c>
      <c r="AI22" s="3" t="s">
        <v>114</v>
      </c>
      <c r="AJ22" s="3">
        <v>498350.34</v>
      </c>
      <c r="AK22" s="3" t="s">
        <v>114</v>
      </c>
      <c r="AL22" s="3" t="s">
        <v>114</v>
      </c>
      <c r="AM22" s="3" t="s">
        <v>114</v>
      </c>
      <c r="AN22" s="3" t="s">
        <v>114</v>
      </c>
      <c r="AO22" s="3" t="s">
        <v>114</v>
      </c>
      <c r="AP22" s="3" t="s">
        <v>114</v>
      </c>
      <c r="AQ22" s="3" t="s">
        <v>114</v>
      </c>
      <c r="AR22" s="3" t="s">
        <v>114</v>
      </c>
      <c r="AS22" s="3" t="s">
        <v>114</v>
      </c>
      <c r="AT22" s="3" t="s">
        <v>114</v>
      </c>
      <c r="AU22" s="3" t="s">
        <v>114</v>
      </c>
      <c r="AV22" s="3" t="s">
        <v>114</v>
      </c>
      <c r="AW22" s="3" t="s">
        <v>114</v>
      </c>
      <c r="AX22" t="s">
        <v>114</v>
      </c>
      <c r="AY22" t="s">
        <v>114</v>
      </c>
      <c r="AZ22" t="s">
        <v>114</v>
      </c>
      <c r="BA22" s="3">
        <v>3.9698667522459998</v>
      </c>
      <c r="BB22" s="3" t="s">
        <v>114</v>
      </c>
      <c r="BC22" s="3" t="s">
        <v>114</v>
      </c>
      <c r="BD22" s="3" t="s">
        <v>114</v>
      </c>
      <c r="BM22" s="3" t="s">
        <v>114</v>
      </c>
      <c r="BP22" t="s">
        <v>278</v>
      </c>
      <c r="BT22" s="3" t="s">
        <v>114</v>
      </c>
      <c r="BU22" s="3" t="s">
        <v>114</v>
      </c>
      <c r="BX22" s="3" t="s">
        <v>114</v>
      </c>
      <c r="BY22" s="3" t="s">
        <v>114</v>
      </c>
      <c r="BZ22" s="3">
        <v>0</v>
      </c>
      <c r="CA22" s="3" t="s">
        <v>114</v>
      </c>
      <c r="CB22" s="3" t="s">
        <v>114</v>
      </c>
      <c r="CC22" s="3" t="s">
        <v>114</v>
      </c>
      <c r="CD22" s="3" t="s">
        <v>114</v>
      </c>
      <c r="CE22" s="3" t="s">
        <v>114</v>
      </c>
      <c r="CF22" t="s">
        <v>114</v>
      </c>
      <c r="CG22" s="3" t="s">
        <v>114</v>
      </c>
      <c r="CH22" s="3" t="s">
        <v>114</v>
      </c>
      <c r="CI22" t="s">
        <v>114</v>
      </c>
      <c r="CJ22" t="s">
        <v>279</v>
      </c>
      <c r="CK22" s="3" t="s">
        <v>114</v>
      </c>
      <c r="CL22" s="3" t="s">
        <v>114</v>
      </c>
      <c r="CM22" s="3" t="s">
        <v>114</v>
      </c>
      <c r="CN22" s="3" t="s">
        <v>114</v>
      </c>
      <c r="CO22" s="3" t="s">
        <v>114</v>
      </c>
      <c r="CP22" s="2" t="s">
        <v>114</v>
      </c>
      <c r="CQ22" s="2" t="s">
        <v>114</v>
      </c>
      <c r="CR22" s="3" t="s">
        <v>114</v>
      </c>
      <c r="CS22" s="3" t="s">
        <v>114</v>
      </c>
      <c r="CT22" s="3" t="s">
        <v>114</v>
      </c>
      <c r="CU22" s="3" t="s">
        <v>114</v>
      </c>
      <c r="CV22" s="3" t="s">
        <v>114</v>
      </c>
      <c r="CW22" s="3">
        <f t="shared" si="0"/>
        <v>5.622726615552026E-4</v>
      </c>
      <c r="CX22" s="3" t="s">
        <v>114</v>
      </c>
      <c r="CY22" s="3" t="s">
        <v>114</v>
      </c>
      <c r="CZ22" s="3">
        <v>1.4084366302152507</v>
      </c>
      <c r="DA22" s="3" t="s">
        <v>114</v>
      </c>
      <c r="DB22" s="3" t="s">
        <v>114</v>
      </c>
      <c r="DC22" s="7">
        <v>194775.839076</v>
      </c>
      <c r="DD22" s="7"/>
      <c r="DE22" t="s">
        <v>114</v>
      </c>
      <c r="DF22" s="3" t="s">
        <v>114</v>
      </c>
      <c r="DG22" t="s">
        <v>114</v>
      </c>
    </row>
    <row r="23" spans="1:111" x14ac:dyDescent="0.25">
      <c r="A23" t="s">
        <v>116</v>
      </c>
      <c r="B23" t="s">
        <v>117</v>
      </c>
      <c r="C23" t="s">
        <v>142</v>
      </c>
      <c r="D23" t="s">
        <v>143</v>
      </c>
      <c r="G23" s="2">
        <v>166</v>
      </c>
      <c r="I23" s="2">
        <v>0</v>
      </c>
      <c r="J23" s="2" t="s">
        <v>114</v>
      </c>
      <c r="K23" t="s">
        <v>114</v>
      </c>
      <c r="L23" s="3" t="s">
        <v>114</v>
      </c>
      <c r="M23" s="3" t="s">
        <v>114</v>
      </c>
      <c r="N23" s="3" t="s">
        <v>114</v>
      </c>
      <c r="O23" t="s">
        <v>114</v>
      </c>
      <c r="R23" t="s">
        <v>270</v>
      </c>
      <c r="S23" t="s">
        <v>114</v>
      </c>
      <c r="T23" t="s">
        <v>145</v>
      </c>
      <c r="U23" t="s">
        <v>114</v>
      </c>
      <c r="V23" t="s">
        <v>146</v>
      </c>
      <c r="W23" t="s">
        <v>147</v>
      </c>
      <c r="X23" t="s">
        <v>114</v>
      </c>
      <c r="Y23" t="s">
        <v>148</v>
      </c>
      <c r="Z23" t="s">
        <v>114</v>
      </c>
      <c r="AA23" t="s">
        <v>114</v>
      </c>
      <c r="AB23" s="3" t="s">
        <v>114</v>
      </c>
      <c r="AC23" s="3" t="s">
        <v>114</v>
      </c>
      <c r="AD23" s="3" t="s">
        <v>114</v>
      </c>
      <c r="AE23" s="3" t="s">
        <v>114</v>
      </c>
      <c r="AF23" s="3" t="s">
        <v>114</v>
      </c>
      <c r="AG23" s="3">
        <v>95586.75</v>
      </c>
      <c r="AH23" s="3" t="s">
        <v>114</v>
      </c>
      <c r="AI23" s="3" t="s">
        <v>114</v>
      </c>
      <c r="AJ23" s="3">
        <v>92930.42</v>
      </c>
      <c r="AK23" s="3" t="s">
        <v>114</v>
      </c>
      <c r="AL23" s="3" t="s">
        <v>114</v>
      </c>
      <c r="AM23" s="3" t="s">
        <v>114</v>
      </c>
      <c r="AN23" s="3" t="s">
        <v>114</v>
      </c>
      <c r="AO23" s="3" t="s">
        <v>114</v>
      </c>
      <c r="AP23" s="3" t="s">
        <v>114</v>
      </c>
      <c r="AQ23" s="3" t="s">
        <v>114</v>
      </c>
      <c r="AR23" s="3" t="s">
        <v>114</v>
      </c>
      <c r="AS23" s="3" t="s">
        <v>114</v>
      </c>
      <c r="AT23" s="3" t="s">
        <v>114</v>
      </c>
      <c r="AU23" s="3" t="s">
        <v>114</v>
      </c>
      <c r="AV23" s="3" t="s">
        <v>114</v>
      </c>
      <c r="AW23" s="3" t="s">
        <v>114</v>
      </c>
      <c r="AX23" t="s">
        <v>114</v>
      </c>
      <c r="AY23" t="s">
        <v>114</v>
      </c>
      <c r="AZ23" t="s">
        <v>114</v>
      </c>
      <c r="BA23" s="3">
        <v>-0.40601658541699998</v>
      </c>
      <c r="BB23" s="3" t="s">
        <v>114</v>
      </c>
      <c r="BC23" s="3" t="s">
        <v>114</v>
      </c>
      <c r="BD23" s="3" t="s">
        <v>114</v>
      </c>
      <c r="BM23" s="3" t="s">
        <v>114</v>
      </c>
      <c r="BP23" t="s">
        <v>149</v>
      </c>
      <c r="BT23" s="3" t="s">
        <v>114</v>
      </c>
      <c r="BU23" s="3" t="s">
        <v>114</v>
      </c>
      <c r="BX23" s="3" t="s">
        <v>114</v>
      </c>
      <c r="BY23" s="3" t="s">
        <v>114</v>
      </c>
      <c r="BZ23" s="3">
        <v>0</v>
      </c>
      <c r="CA23" s="3" t="s">
        <v>114</v>
      </c>
      <c r="CB23" s="3" t="s">
        <v>114</v>
      </c>
      <c r="CC23" s="3" t="s">
        <v>114</v>
      </c>
      <c r="CD23" s="3" t="s">
        <v>114</v>
      </c>
      <c r="CE23" s="3" t="s">
        <v>114</v>
      </c>
      <c r="CF23" t="s">
        <v>114</v>
      </c>
      <c r="CG23" s="3" t="s">
        <v>114</v>
      </c>
      <c r="CH23" s="3" t="s">
        <v>114</v>
      </c>
      <c r="CI23" t="s">
        <v>114</v>
      </c>
      <c r="CJ23" t="s">
        <v>150</v>
      </c>
      <c r="CK23" s="3" t="s">
        <v>114</v>
      </c>
      <c r="CL23" s="3" t="s">
        <v>114</v>
      </c>
      <c r="CM23" s="3" t="s">
        <v>114</v>
      </c>
      <c r="CN23" s="3" t="s">
        <v>114</v>
      </c>
      <c r="CO23" s="3" t="s">
        <v>114</v>
      </c>
      <c r="CP23" s="2" t="s">
        <v>114</v>
      </c>
      <c r="CQ23" s="2" t="s">
        <v>114</v>
      </c>
      <c r="CR23" s="3" t="s">
        <v>114</v>
      </c>
      <c r="CS23" s="3" t="s">
        <v>114</v>
      </c>
      <c r="CT23" s="3" t="s">
        <v>114</v>
      </c>
      <c r="CU23" s="3" t="s">
        <v>114</v>
      </c>
      <c r="CV23" s="3" t="s">
        <v>114</v>
      </c>
      <c r="CW23" s="3">
        <f t="shared" si="0"/>
        <v>5.2051708424984253E-4</v>
      </c>
      <c r="CX23" s="3" t="s">
        <v>114</v>
      </c>
      <c r="CY23" s="3" t="s">
        <v>114</v>
      </c>
      <c r="CZ23" s="3">
        <v>0.23188441853791328</v>
      </c>
      <c r="DA23" s="3" t="s">
        <v>114</v>
      </c>
      <c r="DB23" s="3" t="s">
        <v>114</v>
      </c>
      <c r="DC23" s="7">
        <v>180311.36630000002</v>
      </c>
      <c r="DD23" s="7"/>
      <c r="DE23" t="s">
        <v>114</v>
      </c>
      <c r="DF23" s="3" t="s">
        <v>114</v>
      </c>
      <c r="DG23" t="s">
        <v>114</v>
      </c>
    </row>
    <row r="24" spans="1:111" x14ac:dyDescent="0.25">
      <c r="A24" t="s">
        <v>116</v>
      </c>
      <c r="B24" t="s">
        <v>310</v>
      </c>
      <c r="C24" t="s">
        <v>114</v>
      </c>
      <c r="D24" t="s">
        <v>127</v>
      </c>
      <c r="G24" s="2">
        <v>185</v>
      </c>
      <c r="I24" s="2">
        <v>0</v>
      </c>
      <c r="J24" s="2" t="s">
        <v>114</v>
      </c>
      <c r="K24" t="s">
        <v>114</v>
      </c>
      <c r="L24" s="3" t="s">
        <v>114</v>
      </c>
      <c r="M24" s="3" t="s">
        <v>114</v>
      </c>
      <c r="N24" s="3" t="s">
        <v>114</v>
      </c>
      <c r="O24" t="s">
        <v>114</v>
      </c>
      <c r="R24" t="s">
        <v>305</v>
      </c>
      <c r="S24" t="s">
        <v>114</v>
      </c>
      <c r="T24" t="s">
        <v>129</v>
      </c>
      <c r="U24" t="s">
        <v>114</v>
      </c>
      <c r="V24" t="s">
        <v>130</v>
      </c>
      <c r="W24" t="s">
        <v>306</v>
      </c>
      <c r="X24" t="s">
        <v>114</v>
      </c>
      <c r="Y24" t="s">
        <v>132</v>
      </c>
      <c r="Z24" t="s">
        <v>114</v>
      </c>
      <c r="AA24" t="s">
        <v>114</v>
      </c>
      <c r="AB24" s="3" t="s">
        <v>114</v>
      </c>
      <c r="AC24" s="3" t="s">
        <v>114</v>
      </c>
      <c r="AD24" s="3" t="s">
        <v>114</v>
      </c>
      <c r="AE24" s="3" t="s">
        <v>114</v>
      </c>
      <c r="AF24" s="3" t="s">
        <v>114</v>
      </c>
      <c r="AG24" s="3">
        <v>1604592.11</v>
      </c>
      <c r="AH24" s="3" t="s">
        <v>114</v>
      </c>
      <c r="AI24" s="3" t="s">
        <v>114</v>
      </c>
      <c r="AJ24" s="3">
        <v>1490581.93</v>
      </c>
      <c r="AK24" s="3" t="s">
        <v>114</v>
      </c>
      <c r="AL24" s="3" t="s">
        <v>114</v>
      </c>
      <c r="AM24" s="3" t="s">
        <v>114</v>
      </c>
      <c r="AN24" s="3" t="s">
        <v>114</v>
      </c>
      <c r="AO24" s="3" t="s">
        <v>114</v>
      </c>
      <c r="AP24" s="3" t="s">
        <v>114</v>
      </c>
      <c r="AQ24" s="3" t="s">
        <v>114</v>
      </c>
      <c r="AR24" s="3" t="s">
        <v>114</v>
      </c>
      <c r="AS24" s="3" t="s">
        <v>114</v>
      </c>
      <c r="AT24" s="3" t="s">
        <v>114</v>
      </c>
      <c r="AU24" s="3" t="s">
        <v>114</v>
      </c>
      <c r="AV24" s="3" t="s">
        <v>114</v>
      </c>
      <c r="AW24" s="3" t="s">
        <v>114</v>
      </c>
      <c r="AX24" t="s">
        <v>114</v>
      </c>
      <c r="AY24" t="s">
        <v>114</v>
      </c>
      <c r="AZ24" t="s">
        <v>114</v>
      </c>
      <c r="BA24" s="3">
        <v>0.1356</v>
      </c>
      <c r="BB24" s="3" t="s">
        <v>114</v>
      </c>
      <c r="BC24" s="3" t="s">
        <v>114</v>
      </c>
      <c r="BD24" s="3" t="s">
        <v>114</v>
      </c>
      <c r="BM24" s="3" t="s">
        <v>114</v>
      </c>
      <c r="BP24" t="s">
        <v>133</v>
      </c>
      <c r="BT24" s="3" t="s">
        <v>114</v>
      </c>
      <c r="BU24" s="3" t="s">
        <v>114</v>
      </c>
      <c r="BX24" s="3" t="s">
        <v>114</v>
      </c>
      <c r="BY24" s="3" t="s">
        <v>114</v>
      </c>
      <c r="BZ24" s="3">
        <v>0</v>
      </c>
      <c r="CA24" s="3" t="s">
        <v>114</v>
      </c>
      <c r="CB24" s="3" t="s">
        <v>114</v>
      </c>
      <c r="CC24" s="3" t="s">
        <v>114</v>
      </c>
      <c r="CD24" s="3" t="s">
        <v>114</v>
      </c>
      <c r="CE24" s="3" t="s">
        <v>114</v>
      </c>
      <c r="CF24" t="s">
        <v>114</v>
      </c>
      <c r="CG24" s="3" t="s">
        <v>114</v>
      </c>
      <c r="CH24" s="3" t="s">
        <v>114</v>
      </c>
      <c r="CI24" t="s">
        <v>114</v>
      </c>
      <c r="CJ24" t="s">
        <v>134</v>
      </c>
      <c r="CK24" s="3" t="s">
        <v>114</v>
      </c>
      <c r="CL24" s="3" t="s">
        <v>114</v>
      </c>
      <c r="CM24" s="3" t="s">
        <v>114</v>
      </c>
      <c r="CN24" s="3" t="s">
        <v>114</v>
      </c>
      <c r="CO24" s="3" t="s">
        <v>114</v>
      </c>
      <c r="CP24" s="2" t="s">
        <v>114</v>
      </c>
      <c r="CQ24" s="2" t="s">
        <v>114</v>
      </c>
      <c r="CR24" s="3" t="s">
        <v>114</v>
      </c>
      <c r="CS24" s="3" t="s">
        <v>114</v>
      </c>
      <c r="CT24" s="3" t="s">
        <v>114</v>
      </c>
      <c r="CU24" s="3" t="s">
        <v>114</v>
      </c>
      <c r="CV24" s="3" t="s">
        <v>114</v>
      </c>
      <c r="CW24" s="3">
        <f t="shared" si="0"/>
        <v>8.3197646070649733E-3</v>
      </c>
      <c r="CX24" s="3" t="s">
        <v>114</v>
      </c>
      <c r="CY24" s="3" t="s">
        <v>114</v>
      </c>
      <c r="CZ24" s="3">
        <v>3.8925887575199845</v>
      </c>
      <c r="DA24" s="3" t="s">
        <v>114</v>
      </c>
      <c r="DB24" s="3" t="s">
        <v>114</v>
      </c>
      <c r="DC24" s="7">
        <v>2882034.3634949997</v>
      </c>
      <c r="DD24" s="7"/>
      <c r="DE24" t="s">
        <v>114</v>
      </c>
      <c r="DF24" s="3" t="s">
        <v>114</v>
      </c>
      <c r="DG24" t="s">
        <v>114</v>
      </c>
    </row>
    <row r="25" spans="1:111" x14ac:dyDescent="0.25">
      <c r="A25" t="s">
        <v>116</v>
      </c>
      <c r="B25" t="s">
        <v>117</v>
      </c>
      <c r="C25" t="s">
        <v>142</v>
      </c>
      <c r="D25" t="s">
        <v>143</v>
      </c>
      <c r="G25" s="2">
        <v>190</v>
      </c>
      <c r="I25" s="2">
        <v>0</v>
      </c>
      <c r="J25" s="2" t="s">
        <v>114</v>
      </c>
      <c r="K25" t="s">
        <v>114</v>
      </c>
      <c r="L25" s="3" t="s">
        <v>114</v>
      </c>
      <c r="M25" s="3" t="s">
        <v>114</v>
      </c>
      <c r="N25" s="3" t="s">
        <v>114</v>
      </c>
      <c r="O25" t="s">
        <v>114</v>
      </c>
      <c r="R25" t="s">
        <v>227</v>
      </c>
      <c r="S25" t="s">
        <v>114</v>
      </c>
      <c r="T25" t="s">
        <v>145</v>
      </c>
      <c r="U25" t="s">
        <v>114</v>
      </c>
      <c r="V25" t="s">
        <v>146</v>
      </c>
      <c r="W25" t="s">
        <v>147</v>
      </c>
      <c r="X25" t="s">
        <v>114</v>
      </c>
      <c r="Y25" s="10" t="s">
        <v>148</v>
      </c>
      <c r="Z25" t="s">
        <v>114</v>
      </c>
      <c r="AA25" t="s">
        <v>114</v>
      </c>
      <c r="AB25" s="3" t="s">
        <v>114</v>
      </c>
      <c r="AC25" s="3" t="s">
        <v>114</v>
      </c>
      <c r="AD25" s="3" t="s">
        <v>114</v>
      </c>
      <c r="AE25" s="3" t="s">
        <v>114</v>
      </c>
      <c r="AF25" s="3" t="s">
        <v>114</v>
      </c>
      <c r="AG25" s="3">
        <v>91241.9</v>
      </c>
      <c r="AH25" s="3" t="s">
        <v>114</v>
      </c>
      <c r="AI25" s="3" t="s">
        <v>114</v>
      </c>
      <c r="AJ25" s="3">
        <v>88706.31</v>
      </c>
      <c r="AK25" s="3" t="s">
        <v>114</v>
      </c>
      <c r="AL25" s="3" t="s">
        <v>114</v>
      </c>
      <c r="AM25" s="3" t="s">
        <v>114</v>
      </c>
      <c r="AN25" s="3" t="s">
        <v>114</v>
      </c>
      <c r="AO25" s="3" t="s">
        <v>114</v>
      </c>
      <c r="AP25" s="3" t="s">
        <v>114</v>
      </c>
      <c r="AQ25" s="3" t="s">
        <v>114</v>
      </c>
      <c r="AR25" s="3" t="s">
        <v>114</v>
      </c>
      <c r="AS25" s="3" t="s">
        <v>114</v>
      </c>
      <c r="AT25" s="3" t="s">
        <v>114</v>
      </c>
      <c r="AU25" s="3" t="s">
        <v>114</v>
      </c>
      <c r="AV25" s="3" t="s">
        <v>114</v>
      </c>
      <c r="AW25" s="3" t="s">
        <v>114</v>
      </c>
      <c r="AX25" t="s">
        <v>114</v>
      </c>
      <c r="AY25" t="s">
        <v>114</v>
      </c>
      <c r="AZ25" t="s">
        <v>114</v>
      </c>
      <c r="BA25" s="3">
        <v>-0.40601682057600003</v>
      </c>
      <c r="BB25" s="3" t="s">
        <v>114</v>
      </c>
      <c r="BC25" s="3" t="s">
        <v>114</v>
      </c>
      <c r="BD25" s="3" t="s">
        <v>114</v>
      </c>
      <c r="BM25" s="3" t="s">
        <v>114</v>
      </c>
      <c r="BP25" t="s">
        <v>149</v>
      </c>
      <c r="BT25" s="3" t="s">
        <v>114</v>
      </c>
      <c r="BU25" s="3" t="s">
        <v>114</v>
      </c>
      <c r="BX25" s="3" t="s">
        <v>114</v>
      </c>
      <c r="BY25" s="3" t="s">
        <v>114</v>
      </c>
      <c r="BZ25" s="3">
        <v>0</v>
      </c>
      <c r="CA25" s="3" t="s">
        <v>114</v>
      </c>
      <c r="CB25" s="3" t="s">
        <v>114</v>
      </c>
      <c r="CC25" s="3" t="s">
        <v>114</v>
      </c>
      <c r="CD25" s="3" t="s">
        <v>114</v>
      </c>
      <c r="CE25" s="3" t="s">
        <v>114</v>
      </c>
      <c r="CF25" t="s">
        <v>114</v>
      </c>
      <c r="CG25" s="3" t="s">
        <v>114</v>
      </c>
      <c r="CH25" s="3" t="s">
        <v>114</v>
      </c>
      <c r="CI25" t="s">
        <v>114</v>
      </c>
      <c r="CJ25" t="s">
        <v>150</v>
      </c>
      <c r="CK25" s="3" t="s">
        <v>114</v>
      </c>
      <c r="CL25" s="3" t="s">
        <v>114</v>
      </c>
      <c r="CM25" s="3" t="s">
        <v>114</v>
      </c>
      <c r="CN25" s="3" t="s">
        <v>114</v>
      </c>
      <c r="CO25" s="3" t="s">
        <v>114</v>
      </c>
      <c r="CP25" s="2" t="s">
        <v>114</v>
      </c>
      <c r="CQ25" s="2" t="s">
        <v>114</v>
      </c>
      <c r="CR25" s="3" t="s">
        <v>114</v>
      </c>
      <c r="CS25" s="3" t="s">
        <v>114</v>
      </c>
      <c r="CT25" s="3" t="s">
        <v>114</v>
      </c>
      <c r="CU25" s="3" t="s">
        <v>114</v>
      </c>
      <c r="CV25" s="3" t="s">
        <v>114</v>
      </c>
      <c r="CW25" s="3">
        <f t="shared" si="0"/>
        <v>5.9577256631006075E-4</v>
      </c>
      <c r="CX25" s="3" t="s">
        <v>114</v>
      </c>
      <c r="CY25" s="3" t="s">
        <v>114</v>
      </c>
      <c r="CZ25" s="3">
        <v>0.22134422320870237</v>
      </c>
      <c r="DA25" s="3" t="s">
        <v>114</v>
      </c>
      <c r="DB25" s="3" t="s">
        <v>114</v>
      </c>
      <c r="DC25" s="7">
        <v>206380.47950000002</v>
      </c>
      <c r="DD25" s="7"/>
      <c r="DE25" t="s">
        <v>114</v>
      </c>
      <c r="DF25" s="3" t="s">
        <v>114</v>
      </c>
      <c r="DG25" t="s">
        <v>114</v>
      </c>
    </row>
    <row r="26" spans="1:111" x14ac:dyDescent="0.25">
      <c r="A26" t="s">
        <v>116</v>
      </c>
      <c r="B26" t="s">
        <v>117</v>
      </c>
      <c r="C26" t="s">
        <v>142</v>
      </c>
      <c r="D26" t="s">
        <v>143</v>
      </c>
      <c r="G26" s="2">
        <v>180</v>
      </c>
      <c r="I26" s="2">
        <v>0</v>
      </c>
      <c r="J26" s="2" t="s">
        <v>114</v>
      </c>
      <c r="K26" t="s">
        <v>114</v>
      </c>
      <c r="L26" s="3" t="s">
        <v>114</v>
      </c>
      <c r="M26" s="3" t="s">
        <v>114</v>
      </c>
      <c r="N26" s="3" t="s">
        <v>114</v>
      </c>
      <c r="O26" t="s">
        <v>114</v>
      </c>
      <c r="R26" t="s">
        <v>280</v>
      </c>
      <c r="S26" t="s">
        <v>114</v>
      </c>
      <c r="T26" t="s">
        <v>145</v>
      </c>
      <c r="U26" t="s">
        <v>114</v>
      </c>
      <c r="V26" t="s">
        <v>146</v>
      </c>
      <c r="W26" t="s">
        <v>147</v>
      </c>
      <c r="X26" t="s">
        <v>114</v>
      </c>
      <c r="Y26" t="s">
        <v>148</v>
      </c>
      <c r="Z26" t="s">
        <v>114</v>
      </c>
      <c r="AA26" t="s">
        <v>114</v>
      </c>
      <c r="AB26" s="3" t="s">
        <v>114</v>
      </c>
      <c r="AC26" s="3" t="s">
        <v>114</v>
      </c>
      <c r="AD26" s="3" t="s">
        <v>114</v>
      </c>
      <c r="AE26" s="3" t="s">
        <v>114</v>
      </c>
      <c r="AF26" s="3" t="s">
        <v>114</v>
      </c>
      <c r="AG26" s="3">
        <v>141207.70000000001</v>
      </c>
      <c r="AH26" s="3" t="s">
        <v>114</v>
      </c>
      <c r="AI26" s="3" t="s">
        <v>114</v>
      </c>
      <c r="AJ26" s="3">
        <v>137283.57999999999</v>
      </c>
      <c r="AK26" s="3" t="s">
        <v>114</v>
      </c>
      <c r="AL26" s="3" t="s">
        <v>114</v>
      </c>
      <c r="AM26" s="3" t="s">
        <v>114</v>
      </c>
      <c r="AN26" s="3" t="s">
        <v>114</v>
      </c>
      <c r="AO26" s="3" t="s">
        <v>114</v>
      </c>
      <c r="AP26" s="3" t="s">
        <v>114</v>
      </c>
      <c r="AQ26" s="3" t="s">
        <v>114</v>
      </c>
      <c r="AR26" s="3" t="s">
        <v>114</v>
      </c>
      <c r="AS26" s="3" t="s">
        <v>114</v>
      </c>
      <c r="AT26" s="3" t="s">
        <v>114</v>
      </c>
      <c r="AU26" s="3" t="s">
        <v>114</v>
      </c>
      <c r="AV26" s="3" t="s">
        <v>114</v>
      </c>
      <c r="AW26" s="3" t="s">
        <v>114</v>
      </c>
      <c r="AX26" t="s">
        <v>114</v>
      </c>
      <c r="AY26" t="s">
        <v>114</v>
      </c>
      <c r="AZ26" t="s">
        <v>114</v>
      </c>
      <c r="BA26" s="3">
        <v>-0.40601667948100001</v>
      </c>
      <c r="BB26" s="3" t="s">
        <v>114</v>
      </c>
      <c r="BC26" s="3" t="s">
        <v>114</v>
      </c>
      <c r="BD26" s="3" t="s">
        <v>114</v>
      </c>
      <c r="BM26" s="3" t="s">
        <v>114</v>
      </c>
      <c r="BP26" t="s">
        <v>149</v>
      </c>
      <c r="BT26" s="3" t="s">
        <v>114</v>
      </c>
      <c r="BU26" s="3" t="s">
        <v>114</v>
      </c>
      <c r="BX26" s="3" t="s">
        <v>114</v>
      </c>
      <c r="BY26" s="3" t="s">
        <v>114</v>
      </c>
      <c r="BZ26" s="3">
        <v>0</v>
      </c>
      <c r="CA26" s="3" t="s">
        <v>114</v>
      </c>
      <c r="CB26" s="3" t="s">
        <v>114</v>
      </c>
      <c r="CC26" s="3" t="s">
        <v>114</v>
      </c>
      <c r="CD26" s="3" t="s">
        <v>114</v>
      </c>
      <c r="CE26" s="3" t="s">
        <v>114</v>
      </c>
      <c r="CF26" t="s">
        <v>114</v>
      </c>
      <c r="CG26" s="3" t="s">
        <v>114</v>
      </c>
      <c r="CH26" s="3" t="s">
        <v>114</v>
      </c>
      <c r="CI26" t="s">
        <v>114</v>
      </c>
      <c r="CJ26" t="s">
        <v>150</v>
      </c>
      <c r="CK26" s="3" t="s">
        <v>114</v>
      </c>
      <c r="CL26" s="3" t="s">
        <v>114</v>
      </c>
      <c r="CM26" s="3" t="s">
        <v>114</v>
      </c>
      <c r="CN26" s="3" t="s">
        <v>114</v>
      </c>
      <c r="CO26" s="3" t="s">
        <v>114</v>
      </c>
      <c r="CP26" s="2" t="s">
        <v>114</v>
      </c>
      <c r="CQ26" s="2" t="s">
        <v>114</v>
      </c>
      <c r="CR26" s="3" t="s">
        <v>114</v>
      </c>
      <c r="CS26" s="3" t="s">
        <v>114</v>
      </c>
      <c r="CT26" s="3" t="s">
        <v>114</v>
      </c>
      <c r="CU26" s="3" t="s">
        <v>114</v>
      </c>
      <c r="CV26" s="3" t="s">
        <v>114</v>
      </c>
      <c r="CW26" s="3">
        <f t="shared" si="0"/>
        <v>5.6441611833840449E-4</v>
      </c>
      <c r="CX26" s="3" t="s">
        <v>114</v>
      </c>
      <c r="CY26" s="3" t="s">
        <v>114</v>
      </c>
      <c r="CZ26" s="3">
        <v>0.34255653014226445</v>
      </c>
      <c r="DA26" s="3" t="s">
        <v>114</v>
      </c>
      <c r="DB26" s="3" t="s">
        <v>114</v>
      </c>
      <c r="DC26" s="7">
        <v>195518.35</v>
      </c>
      <c r="DD26" s="7"/>
      <c r="DE26" t="s">
        <v>114</v>
      </c>
      <c r="DF26" s="3" t="s">
        <v>114</v>
      </c>
      <c r="DG26" t="s">
        <v>114</v>
      </c>
    </row>
    <row r="27" spans="1:111" x14ac:dyDescent="0.25">
      <c r="A27" t="s">
        <v>116</v>
      </c>
      <c r="B27" t="s">
        <v>311</v>
      </c>
      <c r="C27" t="s">
        <v>114</v>
      </c>
      <c r="D27" t="s">
        <v>251</v>
      </c>
      <c r="G27" s="2">
        <v>201</v>
      </c>
      <c r="I27" s="2">
        <v>0</v>
      </c>
      <c r="J27" s="2" t="s">
        <v>114</v>
      </c>
      <c r="K27" t="s">
        <v>114</v>
      </c>
      <c r="L27" s="3" t="s">
        <v>114</v>
      </c>
      <c r="M27" s="3" t="s">
        <v>114</v>
      </c>
      <c r="N27" s="3" t="s">
        <v>114</v>
      </c>
      <c r="O27" t="s">
        <v>114</v>
      </c>
      <c r="R27" t="s">
        <v>252</v>
      </c>
      <c r="S27" t="s">
        <v>114</v>
      </c>
      <c r="T27" t="s">
        <v>253</v>
      </c>
      <c r="U27" t="s">
        <v>114</v>
      </c>
      <c r="V27" t="s">
        <v>254</v>
      </c>
      <c r="W27" t="s">
        <v>255</v>
      </c>
      <c r="X27" t="s">
        <v>114</v>
      </c>
      <c r="Y27" t="s">
        <v>140</v>
      </c>
      <c r="Z27" t="s">
        <v>114</v>
      </c>
      <c r="AA27" t="s">
        <v>114</v>
      </c>
      <c r="AB27" s="3" t="s">
        <v>114</v>
      </c>
      <c r="AC27" s="3" t="s">
        <v>114</v>
      </c>
      <c r="AD27" s="3" t="s">
        <v>114</v>
      </c>
      <c r="AE27" s="3" t="s">
        <v>114</v>
      </c>
      <c r="AF27" s="3" t="s">
        <v>114</v>
      </c>
      <c r="AG27" s="3">
        <v>527892.92000000004</v>
      </c>
      <c r="AH27" s="3" t="s">
        <v>114</v>
      </c>
      <c r="AI27" s="3" t="s">
        <v>114</v>
      </c>
      <c r="AJ27" s="3">
        <v>503548.14</v>
      </c>
      <c r="AK27" s="3" t="s">
        <v>114</v>
      </c>
      <c r="AL27" s="3" t="s">
        <v>114</v>
      </c>
      <c r="AM27" s="3" t="s">
        <v>114</v>
      </c>
      <c r="AN27" s="3" t="s">
        <v>114</v>
      </c>
      <c r="AO27" s="3" t="s">
        <v>114</v>
      </c>
      <c r="AP27" s="3" t="s">
        <v>114</v>
      </c>
      <c r="AQ27" s="3" t="s">
        <v>114</v>
      </c>
      <c r="AR27" s="3" t="s">
        <v>114</v>
      </c>
      <c r="AS27" s="3" t="s">
        <v>114</v>
      </c>
      <c r="AT27" s="3" t="s">
        <v>114</v>
      </c>
      <c r="AU27" s="3" t="s">
        <v>114</v>
      </c>
      <c r="AV27" s="3" t="s">
        <v>114</v>
      </c>
      <c r="AW27" s="3" t="s">
        <v>114</v>
      </c>
      <c r="AX27" t="s">
        <v>114</v>
      </c>
      <c r="AY27" t="s">
        <v>114</v>
      </c>
      <c r="AZ27" t="s">
        <v>114</v>
      </c>
      <c r="BA27" s="3">
        <v>5.6190097816289999</v>
      </c>
      <c r="BB27" s="3" t="s">
        <v>114</v>
      </c>
      <c r="BC27" s="3" t="s">
        <v>114</v>
      </c>
      <c r="BD27" s="3" t="s">
        <v>114</v>
      </c>
      <c r="BM27" s="3" t="s">
        <v>114</v>
      </c>
      <c r="BP27" t="s">
        <v>133</v>
      </c>
      <c r="BT27" s="3" t="s">
        <v>114</v>
      </c>
      <c r="BU27" s="3" t="s">
        <v>114</v>
      </c>
      <c r="BX27" s="3" t="s">
        <v>114</v>
      </c>
      <c r="BY27" s="3" t="s">
        <v>114</v>
      </c>
      <c r="BZ27" s="3">
        <v>0</v>
      </c>
      <c r="CA27" s="3" t="s">
        <v>114</v>
      </c>
      <c r="CB27" s="3" t="s">
        <v>114</v>
      </c>
      <c r="CC27" s="3" t="s">
        <v>114</v>
      </c>
      <c r="CD27" s="3" t="s">
        <v>114</v>
      </c>
      <c r="CE27" s="3" t="s">
        <v>114</v>
      </c>
      <c r="CF27" t="s">
        <v>114</v>
      </c>
      <c r="CG27" s="3" t="s">
        <v>114</v>
      </c>
      <c r="CH27" s="3" t="s">
        <v>114</v>
      </c>
      <c r="CI27" t="s">
        <v>114</v>
      </c>
      <c r="CJ27" t="s">
        <v>141</v>
      </c>
      <c r="CK27" s="3" t="s">
        <v>114</v>
      </c>
      <c r="CL27" s="3" t="s">
        <v>114</v>
      </c>
      <c r="CM27" s="3" t="s">
        <v>114</v>
      </c>
      <c r="CN27" s="3" t="s">
        <v>114</v>
      </c>
      <c r="CO27" s="3" t="s">
        <v>114</v>
      </c>
      <c r="CP27" s="2" t="s">
        <v>114</v>
      </c>
      <c r="CQ27" s="2" t="s">
        <v>114</v>
      </c>
      <c r="CR27" s="3" t="s">
        <v>114</v>
      </c>
      <c r="CS27" s="3" t="s">
        <v>114</v>
      </c>
      <c r="CT27" s="3" t="s">
        <v>114</v>
      </c>
      <c r="CU27" s="3" t="s">
        <v>114</v>
      </c>
      <c r="CV27" s="3" t="s">
        <v>114</v>
      </c>
      <c r="CW27" s="3">
        <f t="shared" si="0"/>
        <v>2.4988847301961954E-3</v>
      </c>
      <c r="CX27" s="3" t="s">
        <v>114</v>
      </c>
      <c r="CY27" s="3" t="s">
        <v>114</v>
      </c>
      <c r="CZ27" s="3">
        <v>1.280618315869942</v>
      </c>
      <c r="DA27" s="3" t="s">
        <v>114</v>
      </c>
      <c r="DB27" s="3" t="s">
        <v>114</v>
      </c>
      <c r="DC27" s="7">
        <v>865634.06574300001</v>
      </c>
      <c r="DD27" s="7"/>
      <c r="DE27" t="s">
        <v>114</v>
      </c>
      <c r="DF27" s="3" t="s">
        <v>114</v>
      </c>
      <c r="DG27" t="s">
        <v>114</v>
      </c>
    </row>
    <row r="28" spans="1:111" x14ac:dyDescent="0.25">
      <c r="A28" t="s">
        <v>116</v>
      </c>
      <c r="B28" t="s">
        <v>117</v>
      </c>
      <c r="C28" t="s">
        <v>286</v>
      </c>
      <c r="D28" t="s">
        <v>287</v>
      </c>
      <c r="G28" s="2">
        <v>225</v>
      </c>
      <c r="I28" s="2">
        <v>0</v>
      </c>
      <c r="J28" s="2" t="s">
        <v>114</v>
      </c>
      <c r="K28" t="s">
        <v>114</v>
      </c>
      <c r="L28" s="3" t="s">
        <v>114</v>
      </c>
      <c r="M28" s="3" t="s">
        <v>114</v>
      </c>
      <c r="N28" s="3" t="s">
        <v>114</v>
      </c>
      <c r="O28" t="s">
        <v>114</v>
      </c>
      <c r="R28" t="s">
        <v>288</v>
      </c>
      <c r="S28" t="s">
        <v>114</v>
      </c>
      <c r="T28" t="s">
        <v>289</v>
      </c>
      <c r="U28" t="s">
        <v>114</v>
      </c>
      <c r="V28" t="s">
        <v>290</v>
      </c>
      <c r="W28" t="s">
        <v>123</v>
      </c>
      <c r="X28" t="s">
        <v>114</v>
      </c>
      <c r="Y28" t="s">
        <v>291</v>
      </c>
      <c r="Z28" t="s">
        <v>114</v>
      </c>
      <c r="AA28" t="s">
        <v>114</v>
      </c>
      <c r="AB28" s="3" t="s">
        <v>114</v>
      </c>
      <c r="AC28" s="3" t="s">
        <v>114</v>
      </c>
      <c r="AD28" s="3" t="s">
        <v>114</v>
      </c>
      <c r="AE28" s="3" t="s">
        <v>114</v>
      </c>
      <c r="AF28" s="3" t="s">
        <v>114</v>
      </c>
      <c r="AG28" s="3">
        <v>514095.54</v>
      </c>
      <c r="AH28" s="3" t="s">
        <v>114</v>
      </c>
      <c r="AI28" s="3" t="s">
        <v>114</v>
      </c>
      <c r="AJ28" s="3">
        <v>487851.51</v>
      </c>
      <c r="AK28" s="3" t="s">
        <v>114</v>
      </c>
      <c r="AL28" s="3" t="s">
        <v>114</v>
      </c>
      <c r="AM28" s="3" t="s">
        <v>114</v>
      </c>
      <c r="AN28" s="3" t="s">
        <v>114</v>
      </c>
      <c r="AO28" s="3" t="s">
        <v>114</v>
      </c>
      <c r="AP28" s="3" t="s">
        <v>114</v>
      </c>
      <c r="AQ28" s="3" t="s">
        <v>114</v>
      </c>
      <c r="AR28" s="3" t="s">
        <v>114</v>
      </c>
      <c r="AS28" s="3" t="s">
        <v>114</v>
      </c>
      <c r="AT28" s="3" t="s">
        <v>114</v>
      </c>
      <c r="AU28" s="3" t="s">
        <v>114</v>
      </c>
      <c r="AV28" s="3" t="s">
        <v>114</v>
      </c>
      <c r="AW28" s="3" t="s">
        <v>114</v>
      </c>
      <c r="AX28" t="s">
        <v>114</v>
      </c>
      <c r="AY28" t="s">
        <v>114</v>
      </c>
      <c r="AZ28" t="s">
        <v>114</v>
      </c>
      <c r="BA28" s="3">
        <v>1.910643888012</v>
      </c>
      <c r="BB28" s="3" t="s">
        <v>114</v>
      </c>
      <c r="BC28" s="3" t="s">
        <v>114</v>
      </c>
      <c r="BD28" s="3" t="s">
        <v>114</v>
      </c>
      <c r="BM28" s="3" t="s">
        <v>114</v>
      </c>
      <c r="BP28" t="s">
        <v>292</v>
      </c>
      <c r="BT28" s="3" t="s">
        <v>114</v>
      </c>
      <c r="BU28" s="3" t="s">
        <v>114</v>
      </c>
      <c r="BX28" s="3" t="s">
        <v>114</v>
      </c>
      <c r="BY28" s="3" t="s">
        <v>114</v>
      </c>
      <c r="BZ28" s="3">
        <v>0</v>
      </c>
      <c r="CA28" s="3" t="s">
        <v>114</v>
      </c>
      <c r="CB28" s="3" t="s">
        <v>114</v>
      </c>
      <c r="CC28" s="3" t="s">
        <v>114</v>
      </c>
      <c r="CD28" s="3" t="s">
        <v>114</v>
      </c>
      <c r="CE28" s="3" t="s">
        <v>114</v>
      </c>
      <c r="CF28" t="s">
        <v>114</v>
      </c>
      <c r="CG28" s="3" t="s">
        <v>114</v>
      </c>
      <c r="CH28" s="3" t="s">
        <v>114</v>
      </c>
      <c r="CI28" t="s">
        <v>114</v>
      </c>
      <c r="CJ28" t="s">
        <v>293</v>
      </c>
      <c r="CK28" s="3" t="s">
        <v>114</v>
      </c>
      <c r="CL28" s="3" t="s">
        <v>114</v>
      </c>
      <c r="CM28" s="3" t="s">
        <v>114</v>
      </c>
      <c r="CN28" s="3" t="s">
        <v>114</v>
      </c>
      <c r="CO28" s="3" t="s">
        <v>114</v>
      </c>
      <c r="CP28" s="2" t="s">
        <v>114</v>
      </c>
      <c r="CQ28" s="2" t="s">
        <v>114</v>
      </c>
      <c r="CR28" s="3" t="s">
        <v>114</v>
      </c>
      <c r="CS28" s="3" t="s">
        <v>114</v>
      </c>
      <c r="CT28" s="3" t="s">
        <v>114</v>
      </c>
      <c r="CU28" s="3" t="s">
        <v>114</v>
      </c>
      <c r="CV28" s="3" t="s">
        <v>114</v>
      </c>
      <c r="CW28" s="3">
        <f t="shared" si="0"/>
        <v>6.6783355695154798E-4</v>
      </c>
      <c r="CX28" s="3" t="s">
        <v>114</v>
      </c>
      <c r="CY28" s="3" t="s">
        <v>114</v>
      </c>
      <c r="CZ28" s="3">
        <v>1.2471471764217794</v>
      </c>
      <c r="DA28" s="3" t="s">
        <v>114</v>
      </c>
      <c r="DB28" s="3" t="s">
        <v>114</v>
      </c>
      <c r="DC28" s="7">
        <v>231342.99480000001</v>
      </c>
      <c r="DD28" s="7"/>
      <c r="DE28" t="s">
        <v>114</v>
      </c>
      <c r="DF28" s="3" t="s">
        <v>114</v>
      </c>
      <c r="DG28" t="s">
        <v>114</v>
      </c>
    </row>
    <row r="29" spans="1:111" x14ac:dyDescent="0.25">
      <c r="A29" t="s">
        <v>116</v>
      </c>
      <c r="B29" t="s">
        <v>117</v>
      </c>
      <c r="C29" t="s">
        <v>294</v>
      </c>
      <c r="D29" t="s">
        <v>295</v>
      </c>
      <c r="G29" s="2">
        <v>234</v>
      </c>
      <c r="I29" s="2">
        <v>0</v>
      </c>
      <c r="J29" s="2" t="s">
        <v>114</v>
      </c>
      <c r="K29" t="s">
        <v>114</v>
      </c>
      <c r="L29" s="3" t="s">
        <v>114</v>
      </c>
      <c r="M29" s="3" t="s">
        <v>114</v>
      </c>
      <c r="N29" s="3" t="s">
        <v>114</v>
      </c>
      <c r="O29" t="s">
        <v>114</v>
      </c>
      <c r="R29" t="s">
        <v>296</v>
      </c>
      <c r="S29" t="s">
        <v>114</v>
      </c>
      <c r="T29" t="s">
        <v>297</v>
      </c>
      <c r="U29" t="s">
        <v>114</v>
      </c>
      <c r="V29" t="s">
        <v>298</v>
      </c>
      <c r="W29" t="s">
        <v>299</v>
      </c>
      <c r="X29" t="s">
        <v>114</v>
      </c>
      <c r="Y29" t="s">
        <v>300</v>
      </c>
      <c r="Z29" t="s">
        <v>114</v>
      </c>
      <c r="AA29" t="s">
        <v>114</v>
      </c>
      <c r="AB29" s="3" t="s">
        <v>114</v>
      </c>
      <c r="AC29" s="3" t="s">
        <v>114</v>
      </c>
      <c r="AD29" s="3" t="s">
        <v>114</v>
      </c>
      <c r="AE29" s="3" t="s">
        <v>114</v>
      </c>
      <c r="AF29" s="3" t="s">
        <v>114</v>
      </c>
      <c r="AG29" s="3">
        <v>505493.15</v>
      </c>
      <c r="AH29" s="3" t="s">
        <v>114</v>
      </c>
      <c r="AI29" s="3" t="s">
        <v>114</v>
      </c>
      <c r="AJ29" s="3">
        <v>500000</v>
      </c>
      <c r="AK29" s="3" t="s">
        <v>114</v>
      </c>
      <c r="AL29" s="3" t="s">
        <v>114</v>
      </c>
      <c r="AM29" s="3" t="s">
        <v>114</v>
      </c>
      <c r="AN29" s="3" t="s">
        <v>114</v>
      </c>
      <c r="AO29" s="3" t="s">
        <v>114</v>
      </c>
      <c r="AP29" s="3" t="s">
        <v>114</v>
      </c>
      <c r="AQ29" s="3" t="s">
        <v>114</v>
      </c>
      <c r="AR29" s="3" t="s">
        <v>114</v>
      </c>
      <c r="AS29" s="3" t="s">
        <v>114</v>
      </c>
      <c r="AT29" s="3" t="s">
        <v>114</v>
      </c>
      <c r="AU29" s="3" t="s">
        <v>114</v>
      </c>
      <c r="AV29" s="3" t="s">
        <v>114</v>
      </c>
      <c r="AW29" s="3" t="s">
        <v>114</v>
      </c>
      <c r="AX29" t="s">
        <v>114</v>
      </c>
      <c r="AY29" t="s">
        <v>114</v>
      </c>
      <c r="AZ29" t="s">
        <v>114</v>
      </c>
      <c r="BA29" s="3">
        <v>0</v>
      </c>
      <c r="BB29" s="3" t="s">
        <v>114</v>
      </c>
      <c r="BC29" s="3" t="s">
        <v>114</v>
      </c>
      <c r="BD29" s="3" t="s">
        <v>114</v>
      </c>
      <c r="BM29" s="3" t="s">
        <v>114</v>
      </c>
      <c r="BP29" t="s">
        <v>301</v>
      </c>
      <c r="BT29" s="3" t="s">
        <v>114</v>
      </c>
      <c r="BU29" s="3" t="s">
        <v>114</v>
      </c>
      <c r="BX29" s="3" t="s">
        <v>114</v>
      </c>
      <c r="BY29" s="3" t="s">
        <v>114</v>
      </c>
      <c r="BZ29" s="3">
        <v>0</v>
      </c>
      <c r="CA29" s="3" t="s">
        <v>114</v>
      </c>
      <c r="CB29" s="3" t="s">
        <v>114</v>
      </c>
      <c r="CC29" s="3" t="s">
        <v>114</v>
      </c>
      <c r="CD29" s="3" t="s">
        <v>114</v>
      </c>
      <c r="CE29" s="3" t="s">
        <v>114</v>
      </c>
      <c r="CF29" t="s">
        <v>114</v>
      </c>
      <c r="CG29" s="3" t="s">
        <v>114</v>
      </c>
      <c r="CH29" s="3" t="s">
        <v>114</v>
      </c>
      <c r="CI29" t="s">
        <v>114</v>
      </c>
      <c r="CJ29" t="s">
        <v>302</v>
      </c>
      <c r="CK29" s="3" t="s">
        <v>114</v>
      </c>
      <c r="CL29" s="3" t="s">
        <v>114</v>
      </c>
      <c r="CM29" s="3" t="s">
        <v>114</v>
      </c>
      <c r="CN29" s="3" t="s">
        <v>114</v>
      </c>
      <c r="CO29" s="3" t="s">
        <v>114</v>
      </c>
      <c r="CP29" s="2" t="s">
        <v>114</v>
      </c>
      <c r="CQ29" s="2" t="s">
        <v>114</v>
      </c>
      <c r="CR29" s="3" t="s">
        <v>114</v>
      </c>
      <c r="CS29" s="3" t="s">
        <v>114</v>
      </c>
      <c r="CT29" s="3" t="s">
        <v>114</v>
      </c>
      <c r="CU29" s="3" t="s">
        <v>114</v>
      </c>
      <c r="CV29" s="3" t="s">
        <v>114</v>
      </c>
      <c r="CW29" s="3">
        <f t="shared" si="0"/>
        <v>6.8292499832524182E-4</v>
      </c>
      <c r="CX29" s="3" t="s">
        <v>114</v>
      </c>
      <c r="CY29" s="3" t="s">
        <v>114</v>
      </c>
      <c r="CZ29" s="3">
        <v>1.2262785915688961</v>
      </c>
      <c r="DA29" s="3" t="s">
        <v>114</v>
      </c>
      <c r="DB29" s="3" t="s">
        <v>114</v>
      </c>
      <c r="DC29" s="7">
        <v>236570.79326400001</v>
      </c>
      <c r="DD29" s="7"/>
      <c r="DE29" t="s">
        <v>114</v>
      </c>
      <c r="DF29" s="3" t="s">
        <v>114</v>
      </c>
      <c r="DG29" t="s">
        <v>114</v>
      </c>
    </row>
    <row r="30" spans="1:111" x14ac:dyDescent="0.25">
      <c r="A30" t="s">
        <v>116</v>
      </c>
      <c r="B30" t="s">
        <v>117</v>
      </c>
      <c r="C30" t="s">
        <v>118</v>
      </c>
      <c r="D30" t="s">
        <v>119</v>
      </c>
      <c r="G30" s="2">
        <v>237</v>
      </c>
      <c r="I30" s="2">
        <v>0</v>
      </c>
      <c r="J30" s="2" t="s">
        <v>114</v>
      </c>
      <c r="K30" t="s">
        <v>114</v>
      </c>
      <c r="L30" s="3" t="s">
        <v>114</v>
      </c>
      <c r="M30" s="3" t="s">
        <v>114</v>
      </c>
      <c r="N30" s="3" t="s">
        <v>114</v>
      </c>
      <c r="O30" t="s">
        <v>114</v>
      </c>
      <c r="R30" t="s">
        <v>120</v>
      </c>
      <c r="S30" t="s">
        <v>114</v>
      </c>
      <c r="T30" t="s">
        <v>121</v>
      </c>
      <c r="U30" t="s">
        <v>114</v>
      </c>
      <c r="V30" t="s">
        <v>122</v>
      </c>
      <c r="W30" t="s">
        <v>123</v>
      </c>
      <c r="X30" t="s">
        <v>114</v>
      </c>
      <c r="Y30" t="s">
        <v>124</v>
      </c>
      <c r="Z30" t="s">
        <v>114</v>
      </c>
      <c r="AA30" t="s">
        <v>114</v>
      </c>
      <c r="AB30" s="3" t="s">
        <v>114</v>
      </c>
      <c r="AC30" s="3" t="s">
        <v>114</v>
      </c>
      <c r="AD30" s="3" t="s">
        <v>114</v>
      </c>
      <c r="AE30" s="3" t="s">
        <v>114</v>
      </c>
      <c r="AF30" s="3" t="s">
        <v>114</v>
      </c>
      <c r="AG30" s="3">
        <v>510005.33</v>
      </c>
      <c r="AH30" s="3" t="s">
        <v>114</v>
      </c>
      <c r="AI30" s="3" t="s">
        <v>114</v>
      </c>
      <c r="AJ30" s="3">
        <v>474255.91</v>
      </c>
      <c r="AK30" s="3" t="s">
        <v>114</v>
      </c>
      <c r="AL30" s="3" t="s">
        <v>114</v>
      </c>
      <c r="AM30" s="3" t="s">
        <v>114</v>
      </c>
      <c r="AN30" s="3" t="s">
        <v>114</v>
      </c>
      <c r="AO30" s="3" t="s">
        <v>114</v>
      </c>
      <c r="AP30" s="3" t="s">
        <v>114</v>
      </c>
      <c r="AQ30" s="3" t="s">
        <v>114</v>
      </c>
      <c r="AR30" s="3" t="s">
        <v>114</v>
      </c>
      <c r="AS30" s="3" t="s">
        <v>114</v>
      </c>
      <c r="AT30" s="3" t="s">
        <v>114</v>
      </c>
      <c r="AU30" s="3" t="s">
        <v>114</v>
      </c>
      <c r="AV30" s="3" t="s">
        <v>114</v>
      </c>
      <c r="AW30" s="3" t="s">
        <v>114</v>
      </c>
      <c r="AX30" t="s">
        <v>114</v>
      </c>
      <c r="AY30" t="s">
        <v>114</v>
      </c>
      <c r="AZ30" t="s">
        <v>114</v>
      </c>
      <c r="BA30" s="3">
        <v>0</v>
      </c>
      <c r="BB30" s="3" t="s">
        <v>114</v>
      </c>
      <c r="BC30" s="3" t="s">
        <v>114</v>
      </c>
      <c r="BD30" s="3" t="s">
        <v>114</v>
      </c>
      <c r="BM30" s="3" t="s">
        <v>114</v>
      </c>
      <c r="BP30" t="s">
        <v>125</v>
      </c>
      <c r="BT30" s="3" t="s">
        <v>114</v>
      </c>
      <c r="BU30" s="3" t="s">
        <v>114</v>
      </c>
      <c r="BX30" s="3" t="s">
        <v>114</v>
      </c>
      <c r="BY30" s="3" t="s">
        <v>114</v>
      </c>
      <c r="BZ30" s="3">
        <v>0</v>
      </c>
      <c r="CA30" s="3" t="s">
        <v>114</v>
      </c>
      <c r="CB30" s="3" t="s">
        <v>114</v>
      </c>
      <c r="CC30" s="3" t="s">
        <v>114</v>
      </c>
      <c r="CD30" s="3" t="s">
        <v>114</v>
      </c>
      <c r="CE30" s="3" t="s">
        <v>114</v>
      </c>
      <c r="CF30" t="s">
        <v>114</v>
      </c>
      <c r="CG30" s="3" t="s">
        <v>114</v>
      </c>
      <c r="CH30" s="3" t="s">
        <v>114</v>
      </c>
      <c r="CI30" t="s">
        <v>114</v>
      </c>
      <c r="CJ30" t="s">
        <v>126</v>
      </c>
      <c r="CK30" s="3" t="s">
        <v>114</v>
      </c>
      <c r="CL30" s="3" t="s">
        <v>114</v>
      </c>
      <c r="CM30" s="3" t="s">
        <v>114</v>
      </c>
      <c r="CN30" s="3" t="s">
        <v>114</v>
      </c>
      <c r="CO30" s="3" t="s">
        <v>114</v>
      </c>
      <c r="CP30" s="2" t="s">
        <v>114</v>
      </c>
      <c r="CQ30" s="2" t="s">
        <v>114</v>
      </c>
      <c r="CR30" s="3" t="s">
        <v>114</v>
      </c>
      <c r="CS30" s="3" t="s">
        <v>114</v>
      </c>
      <c r="CT30" s="3" t="s">
        <v>114</v>
      </c>
      <c r="CU30" s="3" t="s">
        <v>114</v>
      </c>
      <c r="CV30" s="3" t="s">
        <v>114</v>
      </c>
      <c r="CW30" s="3">
        <f t="shared" si="0"/>
        <v>6.9507429736911008E-4</v>
      </c>
      <c r="CX30" s="3" t="s">
        <v>114</v>
      </c>
      <c r="CY30" s="3" t="s">
        <v>114</v>
      </c>
      <c r="CZ30" s="3">
        <v>1.2372247136583949</v>
      </c>
      <c r="DA30" s="3" t="s">
        <v>114</v>
      </c>
      <c r="DB30" s="3" t="s">
        <v>114</v>
      </c>
      <c r="DC30" s="7">
        <v>240779.40961199999</v>
      </c>
      <c r="DD30" s="7"/>
      <c r="DE30" t="s">
        <v>114</v>
      </c>
      <c r="DF30" s="3" t="s">
        <v>114</v>
      </c>
      <c r="DG30" t="s">
        <v>114</v>
      </c>
    </row>
    <row r="31" spans="1:111" x14ac:dyDescent="0.25">
      <c r="A31" t="s">
        <v>116</v>
      </c>
      <c r="B31" t="s">
        <v>310</v>
      </c>
      <c r="C31" t="s">
        <v>114</v>
      </c>
      <c r="D31" t="s">
        <v>127</v>
      </c>
      <c r="G31" s="2">
        <v>240</v>
      </c>
      <c r="I31" s="2">
        <v>0</v>
      </c>
      <c r="J31" s="2" t="s">
        <v>114</v>
      </c>
      <c r="K31" t="s">
        <v>114</v>
      </c>
      <c r="L31" s="3" t="s">
        <v>114</v>
      </c>
      <c r="M31" s="3" t="s">
        <v>114</v>
      </c>
      <c r="N31" s="3" t="s">
        <v>114</v>
      </c>
      <c r="O31" t="s">
        <v>114</v>
      </c>
      <c r="R31" t="s">
        <v>303</v>
      </c>
      <c r="S31" t="s">
        <v>114</v>
      </c>
      <c r="T31" t="s">
        <v>129</v>
      </c>
      <c r="U31" t="s">
        <v>114</v>
      </c>
      <c r="V31" t="s">
        <v>130</v>
      </c>
      <c r="W31" t="s">
        <v>304</v>
      </c>
      <c r="X31" t="s">
        <v>114</v>
      </c>
      <c r="Y31" t="s">
        <v>132</v>
      </c>
      <c r="Z31" t="s">
        <v>114</v>
      </c>
      <c r="AA31" t="s">
        <v>114</v>
      </c>
      <c r="AB31" s="3" t="s">
        <v>114</v>
      </c>
      <c r="AC31" s="3" t="s">
        <v>114</v>
      </c>
      <c r="AD31" s="3" t="s">
        <v>114</v>
      </c>
      <c r="AE31" s="3" t="s">
        <v>114</v>
      </c>
      <c r="AF31" s="3" t="s">
        <v>114</v>
      </c>
      <c r="AG31" s="3">
        <v>1230706.57</v>
      </c>
      <c r="AH31" s="3" t="s">
        <v>114</v>
      </c>
      <c r="AI31" s="3" t="s">
        <v>114</v>
      </c>
      <c r="AJ31" s="3">
        <v>996670.03</v>
      </c>
      <c r="AK31" s="3" t="s">
        <v>114</v>
      </c>
      <c r="AL31" s="3" t="s">
        <v>114</v>
      </c>
      <c r="AM31" s="3" t="s">
        <v>114</v>
      </c>
      <c r="AN31" s="3" t="s">
        <v>114</v>
      </c>
      <c r="AO31" s="3" t="s">
        <v>114</v>
      </c>
      <c r="AP31" s="3" t="s">
        <v>114</v>
      </c>
      <c r="AQ31" s="3" t="s">
        <v>114</v>
      </c>
      <c r="AR31" s="3" t="s">
        <v>114</v>
      </c>
      <c r="AS31" s="3" t="s">
        <v>114</v>
      </c>
      <c r="AT31" s="3" t="s">
        <v>114</v>
      </c>
      <c r="AU31" s="3" t="s">
        <v>114</v>
      </c>
      <c r="AV31" s="3" t="s">
        <v>114</v>
      </c>
      <c r="AW31" s="3" t="s">
        <v>114</v>
      </c>
      <c r="AX31" t="s">
        <v>114</v>
      </c>
      <c r="AY31" t="s">
        <v>114</v>
      </c>
      <c r="AZ31" t="s">
        <v>114</v>
      </c>
      <c r="BA31" s="3">
        <v>-36.472821101341196</v>
      </c>
      <c r="BB31" s="3" t="s">
        <v>114</v>
      </c>
      <c r="BC31" s="3" t="s">
        <v>114</v>
      </c>
      <c r="BD31" s="3" t="s">
        <v>114</v>
      </c>
      <c r="BM31" s="3" t="s">
        <v>114</v>
      </c>
      <c r="BP31" t="s">
        <v>133</v>
      </c>
      <c r="BT31" s="3" t="s">
        <v>114</v>
      </c>
      <c r="BU31" s="3" t="s">
        <v>114</v>
      </c>
      <c r="BX31" s="3" t="s">
        <v>114</v>
      </c>
      <c r="BY31" s="3" t="s">
        <v>114</v>
      </c>
      <c r="BZ31" s="3">
        <v>0</v>
      </c>
      <c r="CA31" s="3" t="s">
        <v>114</v>
      </c>
      <c r="CB31" s="3" t="s">
        <v>114</v>
      </c>
      <c r="CC31" s="3" t="s">
        <v>114</v>
      </c>
      <c r="CD31" s="3" t="s">
        <v>114</v>
      </c>
      <c r="CE31" s="3" t="s">
        <v>114</v>
      </c>
      <c r="CF31" t="s">
        <v>114</v>
      </c>
      <c r="CG31" s="3" t="s">
        <v>114</v>
      </c>
      <c r="CH31" s="3" t="s">
        <v>114</v>
      </c>
      <c r="CI31" t="s">
        <v>114</v>
      </c>
      <c r="CJ31" t="s">
        <v>134</v>
      </c>
      <c r="CK31" s="3" t="s">
        <v>114</v>
      </c>
      <c r="CL31" s="3" t="s">
        <v>114</v>
      </c>
      <c r="CM31" s="3" t="s">
        <v>114</v>
      </c>
      <c r="CN31" s="3" t="s">
        <v>114</v>
      </c>
      <c r="CO31" s="3" t="s">
        <v>114</v>
      </c>
      <c r="CP31" s="2" t="s">
        <v>114</v>
      </c>
      <c r="CQ31" s="2" t="s">
        <v>114</v>
      </c>
      <c r="CR31" s="3" t="s">
        <v>114</v>
      </c>
      <c r="CS31" s="3" t="s">
        <v>114</v>
      </c>
      <c r="CT31" s="3" t="s">
        <v>114</v>
      </c>
      <c r="CU31" s="3" t="s">
        <v>114</v>
      </c>
      <c r="CV31" s="3" t="s">
        <v>114</v>
      </c>
      <c r="CW31" s="3">
        <f t="shared" si="0"/>
        <v>1.0793208138895102E-2</v>
      </c>
      <c r="CX31" s="3" t="s">
        <v>114</v>
      </c>
      <c r="CY31" s="3" t="s">
        <v>114</v>
      </c>
      <c r="CZ31" s="3">
        <v>2.9855777853650181</v>
      </c>
      <c r="DA31" s="3" t="s">
        <v>114</v>
      </c>
      <c r="DB31" s="3" t="s">
        <v>114</v>
      </c>
      <c r="DC31" s="7">
        <v>3738855.3904800001</v>
      </c>
      <c r="DD31" s="7"/>
      <c r="DE31" t="s">
        <v>114</v>
      </c>
      <c r="DF31" s="3" t="s">
        <v>114</v>
      </c>
      <c r="DG31" t="s">
        <v>114</v>
      </c>
    </row>
    <row r="32" spans="1:111" x14ac:dyDescent="0.25">
      <c r="A32" t="s">
        <v>116</v>
      </c>
      <c r="B32" t="s">
        <v>311</v>
      </c>
      <c r="C32" t="s">
        <v>114</v>
      </c>
      <c r="D32" t="s">
        <v>281</v>
      </c>
      <c r="G32" s="2">
        <v>247</v>
      </c>
      <c r="I32" s="2">
        <v>0</v>
      </c>
      <c r="J32" s="2" t="s">
        <v>114</v>
      </c>
      <c r="K32" t="s">
        <v>114</v>
      </c>
      <c r="L32" s="3" t="s">
        <v>114</v>
      </c>
      <c r="M32" s="3" t="s">
        <v>114</v>
      </c>
      <c r="N32" s="3" t="s">
        <v>114</v>
      </c>
      <c r="O32" t="s">
        <v>114</v>
      </c>
      <c r="R32" t="s">
        <v>282</v>
      </c>
      <c r="S32" t="s">
        <v>114</v>
      </c>
      <c r="T32" t="s">
        <v>283</v>
      </c>
      <c r="U32" t="s">
        <v>114</v>
      </c>
      <c r="V32" t="s">
        <v>284</v>
      </c>
      <c r="W32" t="s">
        <v>285</v>
      </c>
      <c r="X32" t="s">
        <v>114</v>
      </c>
      <c r="Y32" t="s">
        <v>140</v>
      </c>
      <c r="Z32" t="s">
        <v>114</v>
      </c>
      <c r="AA32" t="s">
        <v>114</v>
      </c>
      <c r="AB32" s="3" t="s">
        <v>114</v>
      </c>
      <c r="AC32" s="3" t="s">
        <v>114</v>
      </c>
      <c r="AD32" s="3" t="s">
        <v>114</v>
      </c>
      <c r="AE32" s="3" t="s">
        <v>114</v>
      </c>
      <c r="AF32" s="3" t="s">
        <v>114</v>
      </c>
      <c r="AG32" s="3">
        <v>1055490.45</v>
      </c>
      <c r="AH32" s="3" t="s">
        <v>114</v>
      </c>
      <c r="AI32" s="3" t="s">
        <v>114</v>
      </c>
      <c r="AJ32" s="3">
        <v>1008951.18</v>
      </c>
      <c r="AK32" s="3" t="s">
        <v>114</v>
      </c>
      <c r="AL32" s="3" t="s">
        <v>114</v>
      </c>
      <c r="AM32" s="3" t="s">
        <v>114</v>
      </c>
      <c r="AN32" s="3" t="s">
        <v>114</v>
      </c>
      <c r="AO32" s="3" t="s">
        <v>114</v>
      </c>
      <c r="AP32" s="3" t="s">
        <v>114</v>
      </c>
      <c r="AQ32" s="3" t="s">
        <v>114</v>
      </c>
      <c r="AR32" s="3" t="s">
        <v>114</v>
      </c>
      <c r="AS32" s="3" t="s">
        <v>114</v>
      </c>
      <c r="AT32" s="3" t="s">
        <v>114</v>
      </c>
      <c r="AU32" s="3" t="s">
        <v>114</v>
      </c>
      <c r="AV32" s="3" t="s">
        <v>114</v>
      </c>
      <c r="AW32" s="3" t="s">
        <v>114</v>
      </c>
      <c r="AX32" t="s">
        <v>114</v>
      </c>
      <c r="AY32" t="s">
        <v>114</v>
      </c>
      <c r="AZ32" t="s">
        <v>114</v>
      </c>
      <c r="BA32" s="3">
        <v>3.949017398059</v>
      </c>
      <c r="BB32" s="3" t="s">
        <v>114</v>
      </c>
      <c r="BC32" s="3" t="s">
        <v>114</v>
      </c>
      <c r="BD32" s="3" t="s">
        <v>114</v>
      </c>
      <c r="BM32" s="3" t="s">
        <v>114</v>
      </c>
      <c r="BP32" t="s">
        <v>133</v>
      </c>
      <c r="BT32" s="3" t="s">
        <v>114</v>
      </c>
      <c r="BU32" s="3" t="s">
        <v>114</v>
      </c>
      <c r="BX32" s="3" t="s">
        <v>114</v>
      </c>
      <c r="BY32" s="3" t="s">
        <v>114</v>
      </c>
      <c r="BZ32" s="3">
        <v>0</v>
      </c>
      <c r="CA32" s="3" t="s">
        <v>114</v>
      </c>
      <c r="CB32" s="3" t="s">
        <v>114</v>
      </c>
      <c r="CC32" s="3" t="s">
        <v>114</v>
      </c>
      <c r="CD32" s="3" t="s">
        <v>114</v>
      </c>
      <c r="CE32" s="3" t="s">
        <v>114</v>
      </c>
      <c r="CF32" t="s">
        <v>114</v>
      </c>
      <c r="CG32" s="3" t="s">
        <v>114</v>
      </c>
      <c r="CH32" s="3" t="s">
        <v>114</v>
      </c>
      <c r="CI32" t="s">
        <v>114</v>
      </c>
      <c r="CJ32" t="s">
        <v>141</v>
      </c>
      <c r="CK32" s="3" t="s">
        <v>114</v>
      </c>
      <c r="CL32" s="3" t="s">
        <v>114</v>
      </c>
      <c r="CM32" s="3" t="s">
        <v>114</v>
      </c>
      <c r="CN32" s="3" t="s">
        <v>114</v>
      </c>
      <c r="CO32" s="3" t="s">
        <v>114</v>
      </c>
      <c r="CP32" s="2" t="s">
        <v>114</v>
      </c>
      <c r="CQ32" s="2" t="s">
        <v>114</v>
      </c>
      <c r="CR32" s="3" t="s">
        <v>114</v>
      </c>
      <c r="CS32" s="3" t="s">
        <v>114</v>
      </c>
      <c r="CT32" s="3" t="s">
        <v>114</v>
      </c>
      <c r="CU32" s="3" t="s">
        <v>114</v>
      </c>
      <c r="CV32" s="3" t="s">
        <v>114</v>
      </c>
      <c r="CW32" s="3">
        <f t="shared" si="0"/>
        <v>3.0469560746070722E-3</v>
      </c>
      <c r="CX32" s="3" t="s">
        <v>114</v>
      </c>
      <c r="CY32" s="3" t="s">
        <v>114</v>
      </c>
      <c r="CZ32" s="3">
        <v>2.560520043526644</v>
      </c>
      <c r="DA32" s="3" t="s">
        <v>114</v>
      </c>
      <c r="DB32" s="3" t="s">
        <v>114</v>
      </c>
      <c r="DC32" s="7">
        <v>1055490.4526529999</v>
      </c>
      <c r="DD32" s="7"/>
      <c r="DE32" t="s">
        <v>114</v>
      </c>
      <c r="DF32" s="3" t="s">
        <v>114</v>
      </c>
      <c r="DG32" t="s">
        <v>114</v>
      </c>
    </row>
    <row r="33" spans="1:111" x14ac:dyDescent="0.25">
      <c r="A33" t="s">
        <v>116</v>
      </c>
      <c r="B33" t="s">
        <v>117</v>
      </c>
      <c r="C33" t="s">
        <v>142</v>
      </c>
      <c r="D33" t="s">
        <v>143</v>
      </c>
      <c r="G33" s="2">
        <v>255</v>
      </c>
      <c r="I33" s="2">
        <v>0</v>
      </c>
      <c r="J33" s="2" t="s">
        <v>114</v>
      </c>
      <c r="K33" t="s">
        <v>114</v>
      </c>
      <c r="L33" s="3" t="s">
        <v>114</v>
      </c>
      <c r="M33" s="3" t="s">
        <v>114</v>
      </c>
      <c r="N33" s="3" t="s">
        <v>114</v>
      </c>
      <c r="O33" t="s">
        <v>114</v>
      </c>
      <c r="R33" t="s">
        <v>151</v>
      </c>
      <c r="S33" t="s">
        <v>114</v>
      </c>
      <c r="T33" t="s">
        <v>145</v>
      </c>
      <c r="U33" t="s">
        <v>114</v>
      </c>
      <c r="V33" t="s">
        <v>146</v>
      </c>
      <c r="W33" t="s">
        <v>147</v>
      </c>
      <c r="X33" t="s">
        <v>114</v>
      </c>
      <c r="Y33" t="s">
        <v>148</v>
      </c>
      <c r="Z33" t="s">
        <v>114</v>
      </c>
      <c r="AA33" t="s">
        <v>114</v>
      </c>
      <c r="AB33" s="3" t="s">
        <v>114</v>
      </c>
      <c r="AC33" s="3" t="s">
        <v>114</v>
      </c>
      <c r="AD33" s="3" t="s">
        <v>114</v>
      </c>
      <c r="AE33" s="3" t="s">
        <v>114</v>
      </c>
      <c r="AF33" s="3" t="s">
        <v>114</v>
      </c>
      <c r="AG33" s="3">
        <v>5431.07</v>
      </c>
      <c r="AH33" s="3" t="s">
        <v>114</v>
      </c>
      <c r="AI33" s="3" t="s">
        <v>114</v>
      </c>
      <c r="AJ33" s="3">
        <v>5280.14</v>
      </c>
      <c r="AK33" s="3" t="s">
        <v>114</v>
      </c>
      <c r="AL33" s="3" t="s">
        <v>114</v>
      </c>
      <c r="AM33" s="3" t="s">
        <v>114</v>
      </c>
      <c r="AN33" s="3" t="s">
        <v>114</v>
      </c>
      <c r="AO33" s="3" t="s">
        <v>114</v>
      </c>
      <c r="AP33" s="3" t="s">
        <v>114</v>
      </c>
      <c r="AQ33" s="3" t="s">
        <v>114</v>
      </c>
      <c r="AR33" s="3" t="s">
        <v>114</v>
      </c>
      <c r="AS33" s="3" t="s">
        <v>114</v>
      </c>
      <c r="AT33" s="3" t="s">
        <v>114</v>
      </c>
      <c r="AU33" s="3" t="s">
        <v>114</v>
      </c>
      <c r="AV33" s="3" t="s">
        <v>114</v>
      </c>
      <c r="AW33" s="3" t="s">
        <v>114</v>
      </c>
      <c r="AX33" t="s">
        <v>114</v>
      </c>
      <c r="AY33" t="s">
        <v>114</v>
      </c>
      <c r="AZ33" t="s">
        <v>114</v>
      </c>
      <c r="BA33" s="3">
        <v>-0.40601145895200003</v>
      </c>
      <c r="BB33" s="3" t="s">
        <v>114</v>
      </c>
      <c r="BC33" s="3" t="s">
        <v>114</v>
      </c>
      <c r="BD33" s="3" t="s">
        <v>114</v>
      </c>
      <c r="BM33" s="3" t="s">
        <v>114</v>
      </c>
      <c r="BP33" t="s">
        <v>149</v>
      </c>
      <c r="BT33" s="3" t="s">
        <v>114</v>
      </c>
      <c r="BU33" s="3" t="s">
        <v>114</v>
      </c>
      <c r="BX33" s="3" t="s">
        <v>114</v>
      </c>
      <c r="BY33" s="3" t="s">
        <v>114</v>
      </c>
      <c r="BZ33" s="3">
        <v>0</v>
      </c>
      <c r="CA33" s="3" t="s">
        <v>114</v>
      </c>
      <c r="CB33" s="3" t="s">
        <v>114</v>
      </c>
      <c r="CC33" s="3" t="s">
        <v>114</v>
      </c>
      <c r="CD33" s="3" t="s">
        <v>114</v>
      </c>
      <c r="CE33" s="3" t="s">
        <v>114</v>
      </c>
      <c r="CF33" t="s">
        <v>114</v>
      </c>
      <c r="CG33" s="3" t="s">
        <v>114</v>
      </c>
      <c r="CH33" s="3" t="s">
        <v>114</v>
      </c>
      <c r="CI33" t="s">
        <v>114</v>
      </c>
      <c r="CJ33" t="s">
        <v>150</v>
      </c>
      <c r="CK33" s="3" t="s">
        <v>114</v>
      </c>
      <c r="CL33" s="3" t="s">
        <v>114</v>
      </c>
      <c r="CM33" s="3" t="s">
        <v>114</v>
      </c>
      <c r="CN33" s="3" t="s">
        <v>114</v>
      </c>
      <c r="CO33" s="3" t="s">
        <v>114</v>
      </c>
      <c r="CP33" s="2" t="s">
        <v>114</v>
      </c>
      <c r="CQ33" s="2" t="s">
        <v>114</v>
      </c>
      <c r="CR33" s="3" t="s">
        <v>114</v>
      </c>
      <c r="CS33" s="3" t="s">
        <v>114</v>
      </c>
      <c r="CT33" s="3" t="s">
        <v>114</v>
      </c>
      <c r="CU33" s="3" t="s">
        <v>114</v>
      </c>
      <c r="CV33" s="3" t="s">
        <v>114</v>
      </c>
      <c r="CW33" s="3">
        <f t="shared" si="0"/>
        <v>7.9958949688981832E-4</v>
      </c>
      <c r="CX33" s="3" t="s">
        <v>114</v>
      </c>
      <c r="CY33" s="3" t="s">
        <v>114</v>
      </c>
      <c r="CZ33" s="3">
        <v>1.3175262355804592E-2</v>
      </c>
      <c r="DA33" s="3" t="s">
        <v>114</v>
      </c>
      <c r="DB33" s="3" t="s">
        <v>114</v>
      </c>
      <c r="DC33" s="7">
        <v>276984.32775</v>
      </c>
      <c r="DD33" s="7"/>
      <c r="DE33" t="s">
        <v>114</v>
      </c>
      <c r="DF33" s="3" t="s">
        <v>114</v>
      </c>
      <c r="DG33" t="s">
        <v>114</v>
      </c>
    </row>
    <row r="34" spans="1:111" x14ac:dyDescent="0.25">
      <c r="A34" t="s">
        <v>116</v>
      </c>
      <c r="B34" t="s">
        <v>117</v>
      </c>
      <c r="C34" t="s">
        <v>142</v>
      </c>
      <c r="D34" t="s">
        <v>143</v>
      </c>
      <c r="G34" s="2">
        <v>269</v>
      </c>
      <c r="I34" s="2">
        <v>0</v>
      </c>
      <c r="J34" s="2" t="s">
        <v>114</v>
      </c>
      <c r="K34" t="s">
        <v>114</v>
      </c>
      <c r="L34" s="3" t="s">
        <v>114</v>
      </c>
      <c r="M34" s="3" t="s">
        <v>114</v>
      </c>
      <c r="N34" s="3" t="s">
        <v>114</v>
      </c>
      <c r="O34" t="s">
        <v>114</v>
      </c>
      <c r="R34" t="s">
        <v>247</v>
      </c>
      <c r="S34" t="s">
        <v>114</v>
      </c>
      <c r="T34" t="s">
        <v>145</v>
      </c>
      <c r="U34" t="s">
        <v>114</v>
      </c>
      <c r="V34" t="s">
        <v>146</v>
      </c>
      <c r="W34" t="s">
        <v>147</v>
      </c>
      <c r="X34" t="s">
        <v>114</v>
      </c>
      <c r="Y34" t="s">
        <v>148</v>
      </c>
      <c r="Z34" t="s">
        <v>114</v>
      </c>
      <c r="AA34" t="s">
        <v>114</v>
      </c>
      <c r="AB34" s="3" t="s">
        <v>114</v>
      </c>
      <c r="AC34" s="3" t="s">
        <v>114</v>
      </c>
      <c r="AD34" s="3" t="s">
        <v>114</v>
      </c>
      <c r="AE34" s="3" t="s">
        <v>114</v>
      </c>
      <c r="AF34" s="3" t="s">
        <v>114</v>
      </c>
      <c r="AG34" s="3">
        <v>175966.51</v>
      </c>
      <c r="AH34" s="3" t="s">
        <v>114</v>
      </c>
      <c r="AI34" s="3" t="s">
        <v>114</v>
      </c>
      <c r="AJ34" s="3">
        <v>171076.46</v>
      </c>
      <c r="AK34" s="3" t="s">
        <v>114</v>
      </c>
      <c r="AL34" s="3" t="s">
        <v>114</v>
      </c>
      <c r="AM34" s="3" t="s">
        <v>114</v>
      </c>
      <c r="AN34" s="3" t="s">
        <v>114</v>
      </c>
      <c r="AO34" s="3" t="s">
        <v>114</v>
      </c>
      <c r="AP34" s="3" t="s">
        <v>114</v>
      </c>
      <c r="AQ34" s="3" t="s">
        <v>114</v>
      </c>
      <c r="AR34" s="3" t="s">
        <v>114</v>
      </c>
      <c r="AS34" s="3" t="s">
        <v>114</v>
      </c>
      <c r="AT34" s="3" t="s">
        <v>114</v>
      </c>
      <c r="AU34" s="3" t="s">
        <v>114</v>
      </c>
      <c r="AV34" s="3" t="s">
        <v>114</v>
      </c>
      <c r="AW34" s="3" t="s">
        <v>114</v>
      </c>
      <c r="AX34" t="s">
        <v>114</v>
      </c>
      <c r="AY34" t="s">
        <v>114</v>
      </c>
      <c r="AZ34" t="s">
        <v>114</v>
      </c>
      <c r="BA34" s="3">
        <v>-0.406017008703</v>
      </c>
      <c r="BB34" s="3" t="s">
        <v>114</v>
      </c>
      <c r="BC34" s="3" t="s">
        <v>114</v>
      </c>
      <c r="BD34" s="3" t="s">
        <v>114</v>
      </c>
      <c r="BM34" s="3" t="s">
        <v>114</v>
      </c>
      <c r="BP34" t="s">
        <v>149</v>
      </c>
      <c r="BT34" s="3" t="s">
        <v>114</v>
      </c>
      <c r="BU34" s="3" t="s">
        <v>114</v>
      </c>
      <c r="BX34" s="3" t="s">
        <v>114</v>
      </c>
      <c r="BY34" s="3" t="s">
        <v>114</v>
      </c>
      <c r="BZ34" s="3">
        <v>0</v>
      </c>
      <c r="CA34" s="3" t="s">
        <v>114</v>
      </c>
      <c r="CB34" s="3" t="s">
        <v>114</v>
      </c>
      <c r="CC34" s="3" t="s">
        <v>114</v>
      </c>
      <c r="CD34" s="3" t="s">
        <v>114</v>
      </c>
      <c r="CE34" s="3" t="s">
        <v>114</v>
      </c>
      <c r="CF34" t="s">
        <v>114</v>
      </c>
      <c r="CG34" s="3" t="s">
        <v>114</v>
      </c>
      <c r="CH34" s="3" t="s">
        <v>114</v>
      </c>
      <c r="CI34" t="s">
        <v>114</v>
      </c>
      <c r="CJ34" t="s">
        <v>150</v>
      </c>
      <c r="CK34" s="3" t="s">
        <v>114</v>
      </c>
      <c r="CL34" s="3" t="s">
        <v>114</v>
      </c>
      <c r="CM34" s="3" t="s">
        <v>114</v>
      </c>
      <c r="CN34" s="3" t="s">
        <v>114</v>
      </c>
      <c r="CO34" s="3" t="s">
        <v>114</v>
      </c>
      <c r="CP34" s="2" t="s">
        <v>114</v>
      </c>
      <c r="CQ34" s="2" t="s">
        <v>114</v>
      </c>
      <c r="CR34" s="3" t="s">
        <v>114</v>
      </c>
      <c r="CS34" s="3" t="s">
        <v>114</v>
      </c>
      <c r="CT34" s="3" t="s">
        <v>114</v>
      </c>
      <c r="CU34" s="3" t="s">
        <v>114</v>
      </c>
      <c r="CV34" s="3" t="s">
        <v>114</v>
      </c>
      <c r="CW34" s="3">
        <f t="shared" si="0"/>
        <v>8.434885280916122E-4</v>
      </c>
      <c r="CX34" s="3" t="s">
        <v>114</v>
      </c>
      <c r="CY34" s="3" t="s">
        <v>114</v>
      </c>
      <c r="CZ34" s="3">
        <v>0.42687811703500639</v>
      </c>
      <c r="DA34" s="3" t="s">
        <v>114</v>
      </c>
      <c r="DB34" s="3" t="s">
        <v>114</v>
      </c>
      <c r="DC34" s="7">
        <v>292191.31044999999</v>
      </c>
      <c r="DD34" s="7"/>
      <c r="DE34" t="s">
        <v>114</v>
      </c>
      <c r="DF34" s="3" t="s">
        <v>114</v>
      </c>
      <c r="DG34" t="s">
        <v>114</v>
      </c>
    </row>
    <row r="35" spans="1:111" x14ac:dyDescent="0.25">
      <c r="A35" t="s">
        <v>116</v>
      </c>
      <c r="B35" t="s">
        <v>152</v>
      </c>
      <c r="C35" t="s">
        <v>216</v>
      </c>
      <c r="D35" t="s">
        <v>189</v>
      </c>
      <c r="G35" s="2">
        <v>273</v>
      </c>
      <c r="I35" s="2">
        <v>0</v>
      </c>
      <c r="J35" s="2" t="s">
        <v>114</v>
      </c>
      <c r="K35" t="s">
        <v>114</v>
      </c>
      <c r="L35" s="3" t="s">
        <v>114</v>
      </c>
      <c r="M35" s="3" t="s">
        <v>114</v>
      </c>
      <c r="N35" s="3" t="s">
        <v>114</v>
      </c>
      <c r="O35" t="s">
        <v>114</v>
      </c>
      <c r="R35" t="s">
        <v>217</v>
      </c>
      <c r="S35" t="s">
        <v>114</v>
      </c>
      <c r="T35" t="s">
        <v>218</v>
      </c>
      <c r="U35" t="s">
        <v>114</v>
      </c>
      <c r="V35" t="s">
        <v>183</v>
      </c>
      <c r="W35" t="s">
        <v>158</v>
      </c>
      <c r="X35" t="s">
        <v>114</v>
      </c>
      <c r="Y35" t="s">
        <v>159</v>
      </c>
      <c r="Z35" t="s">
        <v>114</v>
      </c>
      <c r="AA35" t="s">
        <v>114</v>
      </c>
      <c r="AB35" s="3" t="s">
        <v>114</v>
      </c>
      <c r="AC35" s="3" t="s">
        <v>114</v>
      </c>
      <c r="AD35" s="3" t="s">
        <v>114</v>
      </c>
      <c r="AE35" s="3" t="s">
        <v>114</v>
      </c>
      <c r="AF35" s="3" t="s">
        <v>114</v>
      </c>
      <c r="AG35" s="3">
        <v>327283.87</v>
      </c>
      <c r="AH35" s="3" t="s">
        <v>114</v>
      </c>
      <c r="AI35" s="3" t="s">
        <v>114</v>
      </c>
      <c r="AJ35" s="3">
        <v>309885.83</v>
      </c>
      <c r="AK35" s="3" t="s">
        <v>114</v>
      </c>
      <c r="AL35" s="3" t="s">
        <v>114</v>
      </c>
      <c r="AM35" s="3" t="s">
        <v>114</v>
      </c>
      <c r="AN35" s="3" t="s">
        <v>114</v>
      </c>
      <c r="AO35" s="3" t="s">
        <v>114</v>
      </c>
      <c r="AP35" s="3" t="s">
        <v>114</v>
      </c>
      <c r="AQ35" s="3" t="s">
        <v>114</v>
      </c>
      <c r="AR35" s="3" t="s">
        <v>114</v>
      </c>
      <c r="AS35" s="3" t="s">
        <v>114</v>
      </c>
      <c r="AT35" s="3" t="s">
        <v>114</v>
      </c>
      <c r="AU35" s="3" t="s">
        <v>114</v>
      </c>
      <c r="AV35" s="3" t="s">
        <v>114</v>
      </c>
      <c r="AW35" s="3" t="s">
        <v>114</v>
      </c>
      <c r="AX35" t="s">
        <v>114</v>
      </c>
      <c r="AY35" t="s">
        <v>114</v>
      </c>
      <c r="AZ35" t="s">
        <v>114</v>
      </c>
      <c r="BA35" s="3">
        <v>120</v>
      </c>
      <c r="BB35" s="3" t="s">
        <v>114</v>
      </c>
      <c r="BC35" s="3" t="s">
        <v>114</v>
      </c>
      <c r="BD35" s="3" t="s">
        <v>114</v>
      </c>
      <c r="BM35" s="3" t="s">
        <v>114</v>
      </c>
      <c r="BP35" t="s">
        <v>160</v>
      </c>
      <c r="BT35" s="3" t="s">
        <v>114</v>
      </c>
      <c r="BU35" s="3" t="s">
        <v>114</v>
      </c>
      <c r="BX35" s="3" t="s">
        <v>114</v>
      </c>
      <c r="BY35" s="3" t="s">
        <v>114</v>
      </c>
      <c r="BZ35" s="3">
        <v>0</v>
      </c>
      <c r="CA35" s="3" t="s">
        <v>114</v>
      </c>
      <c r="CB35" s="3" t="s">
        <v>114</v>
      </c>
      <c r="CC35" s="3" t="s">
        <v>114</v>
      </c>
      <c r="CD35" s="3" t="s">
        <v>114</v>
      </c>
      <c r="CE35" s="3" t="s">
        <v>114</v>
      </c>
      <c r="CF35" t="s">
        <v>114</v>
      </c>
      <c r="CG35" s="3" t="s">
        <v>114</v>
      </c>
      <c r="CH35" s="3" t="s">
        <v>114</v>
      </c>
      <c r="CI35" t="s">
        <v>114</v>
      </c>
      <c r="CJ35" t="s">
        <v>161</v>
      </c>
      <c r="CK35" s="3" t="s">
        <v>114</v>
      </c>
      <c r="CL35" s="3" t="s">
        <v>114</v>
      </c>
      <c r="CM35" s="3" t="s">
        <v>114</v>
      </c>
      <c r="CN35" s="3" t="s">
        <v>114</v>
      </c>
      <c r="CO35" s="3" t="s">
        <v>114</v>
      </c>
      <c r="CP35" s="2" t="s">
        <v>114</v>
      </c>
      <c r="CQ35" s="2" t="s">
        <v>114</v>
      </c>
      <c r="CR35" s="3" t="s">
        <v>114</v>
      </c>
      <c r="CS35" s="3" t="s">
        <v>114</v>
      </c>
      <c r="CT35" s="3" t="s">
        <v>114</v>
      </c>
      <c r="CU35" s="3" t="s">
        <v>114</v>
      </c>
      <c r="CV35" s="3" t="s">
        <v>114</v>
      </c>
      <c r="CW35" s="3">
        <f t="shared" si="0"/>
        <v>0.25792838538378976</v>
      </c>
      <c r="CX35" s="3" t="s">
        <v>114</v>
      </c>
      <c r="CY35" s="3" t="s">
        <v>114</v>
      </c>
      <c r="CZ35" s="3">
        <v>0.79395972654984082</v>
      </c>
      <c r="DA35" s="3" t="s">
        <v>114</v>
      </c>
      <c r="DB35" s="3" t="s">
        <v>114</v>
      </c>
      <c r="DC35" s="7">
        <v>89348497.836779997</v>
      </c>
      <c r="DD35" s="7"/>
      <c r="DE35" t="s">
        <v>114</v>
      </c>
      <c r="DF35" s="3" t="s">
        <v>114</v>
      </c>
      <c r="DG35" t="s">
        <v>114</v>
      </c>
    </row>
    <row r="36" spans="1:111" x14ac:dyDescent="0.25">
      <c r="A36" t="s">
        <v>116</v>
      </c>
      <c r="B36" t="s">
        <v>311</v>
      </c>
      <c r="C36" t="s">
        <v>114</v>
      </c>
      <c r="D36" t="s">
        <v>180</v>
      </c>
      <c r="G36" s="2">
        <v>306</v>
      </c>
      <c r="I36" s="2">
        <v>0</v>
      </c>
      <c r="J36" s="2" t="s">
        <v>114</v>
      </c>
      <c r="K36" t="s">
        <v>114</v>
      </c>
      <c r="L36" s="3" t="s">
        <v>114</v>
      </c>
      <c r="M36" s="3" t="s">
        <v>114</v>
      </c>
      <c r="N36" s="3" t="s">
        <v>114</v>
      </c>
      <c r="O36" t="s">
        <v>114</v>
      </c>
      <c r="R36" t="s">
        <v>181</v>
      </c>
      <c r="S36" t="s">
        <v>114</v>
      </c>
      <c r="T36" t="s">
        <v>182</v>
      </c>
      <c r="U36" t="s">
        <v>114</v>
      </c>
      <c r="V36" t="s">
        <v>183</v>
      </c>
      <c r="W36" t="s">
        <v>184</v>
      </c>
      <c r="X36" t="s">
        <v>114</v>
      </c>
      <c r="Y36" t="s">
        <v>140</v>
      </c>
      <c r="Z36" t="s">
        <v>114</v>
      </c>
      <c r="AA36" t="s">
        <v>114</v>
      </c>
      <c r="AB36" s="3" t="s">
        <v>114</v>
      </c>
      <c r="AC36" s="3" t="s">
        <v>114</v>
      </c>
      <c r="AD36" s="3" t="s">
        <v>114</v>
      </c>
      <c r="AE36" s="3" t="s">
        <v>114</v>
      </c>
      <c r="AF36" s="3" t="s">
        <v>114</v>
      </c>
      <c r="AG36" s="3">
        <v>2061253.68</v>
      </c>
      <c r="AH36" s="3" t="s">
        <v>114</v>
      </c>
      <c r="AI36" s="3" t="s">
        <v>114</v>
      </c>
      <c r="AJ36" s="3">
        <v>2096632.14</v>
      </c>
      <c r="AK36" s="3" t="s">
        <v>114</v>
      </c>
      <c r="AL36" s="3" t="s">
        <v>114</v>
      </c>
      <c r="AM36" s="3" t="s">
        <v>114</v>
      </c>
      <c r="AN36" s="3" t="s">
        <v>114</v>
      </c>
      <c r="AO36" s="3" t="s">
        <v>114</v>
      </c>
      <c r="AP36" s="3" t="s">
        <v>114</v>
      </c>
      <c r="AQ36" s="3" t="s">
        <v>114</v>
      </c>
      <c r="AR36" s="3" t="s">
        <v>114</v>
      </c>
      <c r="AS36" s="3" t="s">
        <v>114</v>
      </c>
      <c r="AT36" s="3" t="s">
        <v>114</v>
      </c>
      <c r="AU36" s="3" t="s">
        <v>114</v>
      </c>
      <c r="AV36" s="3" t="s">
        <v>114</v>
      </c>
      <c r="AW36" s="3" t="s">
        <v>114</v>
      </c>
      <c r="AX36" t="s">
        <v>114</v>
      </c>
      <c r="AY36" t="s">
        <v>114</v>
      </c>
      <c r="AZ36" t="s">
        <v>114</v>
      </c>
      <c r="BA36" s="3">
        <v>6</v>
      </c>
      <c r="BB36" s="3" t="s">
        <v>114</v>
      </c>
      <c r="BC36" s="3" t="s">
        <v>114</v>
      </c>
      <c r="BD36" s="3" t="s">
        <v>114</v>
      </c>
      <c r="BM36" s="3" t="s">
        <v>114</v>
      </c>
      <c r="BP36" t="s">
        <v>133</v>
      </c>
      <c r="BT36" s="3" t="s">
        <v>114</v>
      </c>
      <c r="BU36" s="3" t="s">
        <v>114</v>
      </c>
      <c r="BX36" s="3" t="s">
        <v>114</v>
      </c>
      <c r="BY36" s="3" t="s">
        <v>114</v>
      </c>
      <c r="BZ36" s="3">
        <v>0</v>
      </c>
      <c r="CA36" s="3" t="s">
        <v>114</v>
      </c>
      <c r="CB36" s="3" t="s">
        <v>114</v>
      </c>
      <c r="CC36" s="3" t="s">
        <v>114</v>
      </c>
      <c r="CD36" s="3" t="s">
        <v>114</v>
      </c>
      <c r="CE36" s="3" t="s">
        <v>114</v>
      </c>
      <c r="CF36" t="s">
        <v>114</v>
      </c>
      <c r="CG36" s="3" t="s">
        <v>114</v>
      </c>
      <c r="CH36" s="3" t="s">
        <v>114</v>
      </c>
      <c r="CI36" t="s">
        <v>114</v>
      </c>
      <c r="CJ36" t="s">
        <v>141</v>
      </c>
      <c r="CK36" s="3" t="s">
        <v>114</v>
      </c>
      <c r="CL36" s="3" t="s">
        <v>114</v>
      </c>
      <c r="CM36" s="3" t="s">
        <v>114</v>
      </c>
      <c r="CN36" s="3" t="s">
        <v>114</v>
      </c>
      <c r="CO36" s="3" t="s">
        <v>114</v>
      </c>
      <c r="CP36" s="2" t="s">
        <v>114</v>
      </c>
      <c r="CQ36" s="2" t="s">
        <v>114</v>
      </c>
      <c r="CR36" s="3" t="s">
        <v>114</v>
      </c>
      <c r="CS36" s="3" t="s">
        <v>114</v>
      </c>
      <c r="CT36" s="3" t="s">
        <v>114</v>
      </c>
      <c r="CU36" s="3" t="s">
        <v>114</v>
      </c>
      <c r="CV36" s="3" t="s">
        <v>114</v>
      </c>
      <c r="CW36" s="3">
        <f t="shared" si="0"/>
        <v>3.6416210457868902E-3</v>
      </c>
      <c r="CX36" s="3" t="s">
        <v>114</v>
      </c>
      <c r="CY36" s="3" t="s">
        <v>114</v>
      </c>
      <c r="CZ36" s="3">
        <v>5.0004065526438959</v>
      </c>
      <c r="DA36" s="3" t="s">
        <v>114</v>
      </c>
      <c r="DB36" s="3" t="s">
        <v>114</v>
      </c>
      <c r="DC36" s="7">
        <v>1261487.2521599999</v>
      </c>
      <c r="DD36" s="7"/>
      <c r="DE36" t="s">
        <v>114</v>
      </c>
      <c r="DF36" s="3" t="s">
        <v>114</v>
      </c>
      <c r="DG36" t="s">
        <v>114</v>
      </c>
    </row>
    <row r="37" spans="1:111" x14ac:dyDescent="0.25">
      <c r="A37" t="s">
        <v>116</v>
      </c>
      <c r="B37" t="s">
        <v>311</v>
      </c>
      <c r="C37" t="s">
        <v>114</v>
      </c>
      <c r="D37" t="s">
        <v>180</v>
      </c>
      <c r="G37" s="2">
        <v>332</v>
      </c>
      <c r="I37" s="2">
        <v>0</v>
      </c>
      <c r="J37" s="2" t="s">
        <v>114</v>
      </c>
      <c r="K37" t="s">
        <v>114</v>
      </c>
      <c r="L37" s="3" t="s">
        <v>114</v>
      </c>
      <c r="M37" s="3" t="s">
        <v>114</v>
      </c>
      <c r="N37" s="3" t="s">
        <v>114</v>
      </c>
      <c r="O37" t="s">
        <v>114</v>
      </c>
      <c r="R37" t="s">
        <v>230</v>
      </c>
      <c r="S37" t="s">
        <v>114</v>
      </c>
      <c r="T37" t="s">
        <v>231</v>
      </c>
      <c r="U37" t="s">
        <v>114</v>
      </c>
      <c r="V37" t="s">
        <v>183</v>
      </c>
      <c r="W37" t="s">
        <v>232</v>
      </c>
      <c r="X37" t="s">
        <v>114</v>
      </c>
      <c r="Y37" t="s">
        <v>140</v>
      </c>
      <c r="Z37" t="s">
        <v>114</v>
      </c>
      <c r="AA37" t="s">
        <v>114</v>
      </c>
      <c r="AB37" s="3" t="s">
        <v>114</v>
      </c>
      <c r="AC37" s="3" t="s">
        <v>114</v>
      </c>
      <c r="AD37" s="3" t="s">
        <v>114</v>
      </c>
      <c r="AE37" s="3" t="s">
        <v>114</v>
      </c>
      <c r="AF37" s="3" t="s">
        <v>114</v>
      </c>
      <c r="AG37" s="3">
        <v>1558307.78</v>
      </c>
      <c r="AH37" s="3" t="s">
        <v>114</v>
      </c>
      <c r="AI37" s="3" t="s">
        <v>114</v>
      </c>
      <c r="AJ37" s="3">
        <v>1501718.99</v>
      </c>
      <c r="AK37" s="3" t="s">
        <v>114</v>
      </c>
      <c r="AL37" s="3" t="s">
        <v>114</v>
      </c>
      <c r="AM37" s="3" t="s">
        <v>114</v>
      </c>
      <c r="AN37" s="3" t="s">
        <v>114</v>
      </c>
      <c r="AO37" s="3" t="s">
        <v>114</v>
      </c>
      <c r="AP37" s="3" t="s">
        <v>114</v>
      </c>
      <c r="AQ37" s="3" t="s">
        <v>114</v>
      </c>
      <c r="AR37" s="3" t="s">
        <v>114</v>
      </c>
      <c r="AS37" s="3" t="s">
        <v>114</v>
      </c>
      <c r="AT37" s="3" t="s">
        <v>114</v>
      </c>
      <c r="AU37" s="3" t="s">
        <v>114</v>
      </c>
      <c r="AV37" s="3" t="s">
        <v>114</v>
      </c>
      <c r="AW37" s="3" t="s">
        <v>114</v>
      </c>
      <c r="AX37" t="s">
        <v>114</v>
      </c>
      <c r="AY37" t="s">
        <v>114</v>
      </c>
      <c r="AZ37" t="s">
        <v>114</v>
      </c>
      <c r="BA37" s="3">
        <v>6.254592500627</v>
      </c>
      <c r="BB37" s="3" t="s">
        <v>114</v>
      </c>
      <c r="BC37" s="3" t="s">
        <v>114</v>
      </c>
      <c r="BD37" s="3" t="s">
        <v>114</v>
      </c>
      <c r="BM37" s="3" t="s">
        <v>114</v>
      </c>
      <c r="BP37" t="s">
        <v>133</v>
      </c>
      <c r="BT37" s="3" t="s">
        <v>114</v>
      </c>
      <c r="BU37" s="3" t="s">
        <v>114</v>
      </c>
      <c r="BX37" s="3" t="s">
        <v>114</v>
      </c>
      <c r="BY37" s="3" t="s">
        <v>114</v>
      </c>
      <c r="BZ37" s="3">
        <v>0</v>
      </c>
      <c r="CA37" s="3" t="s">
        <v>114</v>
      </c>
      <c r="CB37" s="3" t="s">
        <v>114</v>
      </c>
      <c r="CC37" s="3" t="s">
        <v>114</v>
      </c>
      <c r="CD37" s="3" t="s">
        <v>114</v>
      </c>
      <c r="CE37" s="3" t="s">
        <v>114</v>
      </c>
      <c r="CF37" t="s">
        <v>114</v>
      </c>
      <c r="CG37" s="3" t="s">
        <v>114</v>
      </c>
      <c r="CH37" s="3" t="s">
        <v>114</v>
      </c>
      <c r="CI37" t="s">
        <v>114</v>
      </c>
      <c r="CJ37" t="s">
        <v>141</v>
      </c>
      <c r="CK37" s="3" t="s">
        <v>114</v>
      </c>
      <c r="CL37" s="3" t="s">
        <v>114</v>
      </c>
      <c r="CM37" s="3" t="s">
        <v>114</v>
      </c>
      <c r="CN37" s="3" t="s">
        <v>114</v>
      </c>
      <c r="CO37" s="3" t="s">
        <v>114</v>
      </c>
      <c r="CP37" s="2" t="s">
        <v>114</v>
      </c>
      <c r="CQ37" s="2" t="s">
        <v>114</v>
      </c>
      <c r="CR37" s="3" t="s">
        <v>114</v>
      </c>
      <c r="CS37" s="3" t="s">
        <v>114</v>
      </c>
      <c r="CT37" s="3" t="s">
        <v>114</v>
      </c>
      <c r="CU37" s="3" t="s">
        <v>114</v>
      </c>
      <c r="CV37" s="3" t="s">
        <v>114</v>
      </c>
      <c r="CW37" s="3">
        <f t="shared" si="0"/>
        <v>3.9510398274550575E-3</v>
      </c>
      <c r="CX37" s="3" t="s">
        <v>114</v>
      </c>
      <c r="CY37" s="3" t="s">
        <v>114</v>
      </c>
      <c r="CZ37" s="3">
        <v>3.7803073487529022</v>
      </c>
      <c r="DA37" s="3" t="s">
        <v>114</v>
      </c>
      <c r="DB37" s="3" t="s">
        <v>114</v>
      </c>
      <c r="DC37" s="7">
        <v>1368672.44352</v>
      </c>
      <c r="DD37" s="7"/>
      <c r="DE37" t="s">
        <v>114</v>
      </c>
      <c r="DF37" s="3" t="s">
        <v>114</v>
      </c>
      <c r="DG37" t="s">
        <v>114</v>
      </c>
    </row>
    <row r="38" spans="1:111" x14ac:dyDescent="0.25">
      <c r="A38" t="s">
        <v>116</v>
      </c>
      <c r="B38" t="s">
        <v>311</v>
      </c>
      <c r="C38" t="s">
        <v>114</v>
      </c>
      <c r="D38" t="s">
        <v>135</v>
      </c>
      <c r="G38" s="2">
        <v>361</v>
      </c>
      <c r="I38" s="2">
        <v>0</v>
      </c>
      <c r="J38" s="2" t="s">
        <v>114</v>
      </c>
      <c r="K38" t="s">
        <v>114</v>
      </c>
      <c r="L38" s="3" t="s">
        <v>114</v>
      </c>
      <c r="M38" s="3" t="s">
        <v>114</v>
      </c>
      <c r="N38" s="3" t="s">
        <v>114</v>
      </c>
      <c r="O38" t="s">
        <v>114</v>
      </c>
      <c r="R38" t="s">
        <v>136</v>
      </c>
      <c r="S38" t="s">
        <v>114</v>
      </c>
      <c r="T38" t="s">
        <v>137</v>
      </c>
      <c r="U38" t="s">
        <v>114</v>
      </c>
      <c r="V38" t="s">
        <v>138</v>
      </c>
      <c r="W38" t="s">
        <v>139</v>
      </c>
      <c r="X38" t="s">
        <v>114</v>
      </c>
      <c r="Y38" t="s">
        <v>140</v>
      </c>
      <c r="Z38" t="s">
        <v>114</v>
      </c>
      <c r="AA38" t="s">
        <v>114</v>
      </c>
      <c r="AB38" s="3" t="s">
        <v>114</v>
      </c>
      <c r="AC38" s="3" t="s">
        <v>114</v>
      </c>
      <c r="AD38" s="3" t="s">
        <v>114</v>
      </c>
      <c r="AE38" s="3" t="s">
        <v>114</v>
      </c>
      <c r="AF38" s="3" t="s">
        <v>114</v>
      </c>
      <c r="AG38" s="3">
        <v>1002203.59</v>
      </c>
      <c r="AH38" s="3" t="s">
        <v>114</v>
      </c>
      <c r="AI38" s="3" t="s">
        <v>114</v>
      </c>
      <c r="AJ38" s="3">
        <v>996327.58</v>
      </c>
      <c r="AK38" s="3" t="s">
        <v>114</v>
      </c>
      <c r="AL38" s="3" t="s">
        <v>114</v>
      </c>
      <c r="AM38" s="3" t="s">
        <v>114</v>
      </c>
      <c r="AN38" s="3" t="s">
        <v>114</v>
      </c>
      <c r="AO38" s="3" t="s">
        <v>114</v>
      </c>
      <c r="AP38" s="3" t="s">
        <v>114</v>
      </c>
      <c r="AQ38" s="3" t="s">
        <v>114</v>
      </c>
      <c r="AR38" s="3" t="s">
        <v>114</v>
      </c>
      <c r="AS38" s="3" t="s">
        <v>114</v>
      </c>
      <c r="AT38" s="3" t="s">
        <v>114</v>
      </c>
      <c r="AU38" s="3" t="s">
        <v>114</v>
      </c>
      <c r="AV38" s="3" t="s">
        <v>114</v>
      </c>
      <c r="AW38" s="3" t="s">
        <v>114</v>
      </c>
      <c r="AX38" t="s">
        <v>114</v>
      </c>
      <c r="AY38" t="s">
        <v>114</v>
      </c>
      <c r="AZ38" t="s">
        <v>114</v>
      </c>
      <c r="BA38" s="3">
        <v>0</v>
      </c>
      <c r="BB38" s="3" t="s">
        <v>114</v>
      </c>
      <c r="BC38" s="3" t="s">
        <v>114</v>
      </c>
      <c r="BD38" s="3" t="s">
        <v>114</v>
      </c>
      <c r="BM38" s="3" t="s">
        <v>114</v>
      </c>
      <c r="BP38" t="s">
        <v>133</v>
      </c>
      <c r="BT38" s="3" t="s">
        <v>114</v>
      </c>
      <c r="BU38" s="3" t="s">
        <v>114</v>
      </c>
      <c r="BX38" s="3" t="s">
        <v>114</v>
      </c>
      <c r="BY38" s="3" t="s">
        <v>114</v>
      </c>
      <c r="BZ38" s="3">
        <v>0</v>
      </c>
      <c r="CA38" s="3" t="s">
        <v>114</v>
      </c>
      <c r="CB38" s="3" t="s">
        <v>114</v>
      </c>
      <c r="CC38" s="3" t="s">
        <v>114</v>
      </c>
      <c r="CD38" s="3" t="s">
        <v>114</v>
      </c>
      <c r="CE38" s="3" t="s">
        <v>114</v>
      </c>
      <c r="CF38" t="s">
        <v>114</v>
      </c>
      <c r="CG38" s="3" t="s">
        <v>114</v>
      </c>
      <c r="CH38" s="3" t="s">
        <v>114</v>
      </c>
      <c r="CI38" t="s">
        <v>114</v>
      </c>
      <c r="CJ38" t="s">
        <v>141</v>
      </c>
      <c r="CK38" s="3" t="s">
        <v>114</v>
      </c>
      <c r="CL38" s="3" t="s">
        <v>114</v>
      </c>
      <c r="CM38" s="3" t="s">
        <v>114</v>
      </c>
      <c r="CN38" s="3" t="s">
        <v>114</v>
      </c>
      <c r="CO38" s="3" t="s">
        <v>114</v>
      </c>
      <c r="CP38" s="2" t="s">
        <v>114</v>
      </c>
      <c r="CQ38" s="2" t="s">
        <v>114</v>
      </c>
      <c r="CR38" s="3" t="s">
        <v>114</v>
      </c>
      <c r="CS38" s="3" t="s">
        <v>114</v>
      </c>
      <c r="CT38" s="3" t="s">
        <v>114</v>
      </c>
      <c r="CU38" s="3" t="s">
        <v>114</v>
      </c>
      <c r="CV38" s="3" t="s">
        <v>114</v>
      </c>
      <c r="CW38" s="3">
        <f t="shared" si="0"/>
        <v>4.482487834599945E-3</v>
      </c>
      <c r="CX38" s="3" t="s">
        <v>114</v>
      </c>
      <c r="CY38" s="3" t="s">
        <v>114</v>
      </c>
      <c r="CZ38" s="3">
        <v>2.4312511590127213</v>
      </c>
      <c r="DA38" s="3" t="s">
        <v>114</v>
      </c>
      <c r="DB38" s="3" t="s">
        <v>114</v>
      </c>
      <c r="DC38" s="7">
        <v>1552770.3707260001</v>
      </c>
      <c r="DD38" s="7"/>
      <c r="DE38" t="s">
        <v>114</v>
      </c>
      <c r="DF38" s="3" t="s">
        <v>114</v>
      </c>
      <c r="DG38" t="s">
        <v>114</v>
      </c>
    </row>
    <row r="39" spans="1:111" x14ac:dyDescent="0.25">
      <c r="A39" t="s">
        <v>116</v>
      </c>
      <c r="B39" t="s">
        <v>117</v>
      </c>
      <c r="C39" t="s">
        <v>142</v>
      </c>
      <c r="D39" t="s">
        <v>143</v>
      </c>
      <c r="G39" s="2">
        <v>404</v>
      </c>
      <c r="I39" s="2">
        <v>0</v>
      </c>
      <c r="J39" s="2" t="s">
        <v>114</v>
      </c>
      <c r="K39" t="s">
        <v>114</v>
      </c>
      <c r="L39" s="3" t="s">
        <v>114</v>
      </c>
      <c r="M39" s="3" t="s">
        <v>114</v>
      </c>
      <c r="N39" s="3" t="s">
        <v>114</v>
      </c>
      <c r="O39" t="s">
        <v>114</v>
      </c>
      <c r="R39" t="s">
        <v>248</v>
      </c>
      <c r="S39" t="s">
        <v>114</v>
      </c>
      <c r="T39" t="s">
        <v>145</v>
      </c>
      <c r="U39" t="s">
        <v>114</v>
      </c>
      <c r="V39" t="s">
        <v>146</v>
      </c>
      <c r="W39" t="s">
        <v>147</v>
      </c>
      <c r="X39" t="s">
        <v>114</v>
      </c>
      <c r="Y39" t="s">
        <v>148</v>
      </c>
      <c r="Z39" t="s">
        <v>114</v>
      </c>
      <c r="AA39" t="s">
        <v>114</v>
      </c>
      <c r="AB39" s="3" t="s">
        <v>114</v>
      </c>
      <c r="AC39" s="3" t="s">
        <v>114</v>
      </c>
      <c r="AD39" s="3" t="s">
        <v>114</v>
      </c>
      <c r="AE39" s="3" t="s">
        <v>114</v>
      </c>
      <c r="AF39" s="3" t="s">
        <v>114</v>
      </c>
      <c r="AG39" s="3">
        <v>112966.16</v>
      </c>
      <c r="AH39" s="3" t="s">
        <v>114</v>
      </c>
      <c r="AI39" s="3" t="s">
        <v>114</v>
      </c>
      <c r="AJ39" s="3">
        <v>109826.86</v>
      </c>
      <c r="AK39" s="3" t="s">
        <v>114</v>
      </c>
      <c r="AL39" s="3" t="s">
        <v>114</v>
      </c>
      <c r="AM39" s="3" t="s">
        <v>114</v>
      </c>
      <c r="AN39" s="3" t="s">
        <v>114</v>
      </c>
      <c r="AO39" s="3" t="s">
        <v>114</v>
      </c>
      <c r="AP39" s="3" t="s">
        <v>114</v>
      </c>
      <c r="AQ39" s="3" t="s">
        <v>114</v>
      </c>
      <c r="AR39" s="3" t="s">
        <v>114</v>
      </c>
      <c r="AS39" s="3" t="s">
        <v>114</v>
      </c>
      <c r="AT39" s="3" t="s">
        <v>114</v>
      </c>
      <c r="AU39" s="3" t="s">
        <v>114</v>
      </c>
      <c r="AV39" s="3" t="s">
        <v>114</v>
      </c>
      <c r="AW39" s="3" t="s">
        <v>114</v>
      </c>
      <c r="AX39" t="s">
        <v>114</v>
      </c>
      <c r="AY39" t="s">
        <v>114</v>
      </c>
      <c r="AZ39" t="s">
        <v>114</v>
      </c>
      <c r="BA39" s="3">
        <v>-0.40601578587699999</v>
      </c>
      <c r="BB39" s="3" t="s">
        <v>114</v>
      </c>
      <c r="BC39" s="3" t="s">
        <v>114</v>
      </c>
      <c r="BD39" s="3" t="s">
        <v>114</v>
      </c>
      <c r="BM39" s="3" t="s">
        <v>114</v>
      </c>
      <c r="BP39" t="s">
        <v>149</v>
      </c>
      <c r="BT39" s="3" t="s">
        <v>114</v>
      </c>
      <c r="BU39" s="3" t="s">
        <v>114</v>
      </c>
      <c r="BX39" s="3" t="s">
        <v>114</v>
      </c>
      <c r="BY39" s="3" t="s">
        <v>114</v>
      </c>
      <c r="BZ39" s="3">
        <v>0</v>
      </c>
      <c r="CA39" s="3" t="s">
        <v>114</v>
      </c>
      <c r="CB39" s="3" t="s">
        <v>114</v>
      </c>
      <c r="CC39" s="3" t="s">
        <v>114</v>
      </c>
      <c r="CD39" s="3" t="s">
        <v>114</v>
      </c>
      <c r="CE39" s="3" t="s">
        <v>114</v>
      </c>
      <c r="CF39" t="s">
        <v>114</v>
      </c>
      <c r="CG39" s="3" t="s">
        <v>114</v>
      </c>
      <c r="CH39" s="3" t="s">
        <v>114</v>
      </c>
      <c r="CI39" t="s">
        <v>114</v>
      </c>
      <c r="CJ39" t="s">
        <v>150</v>
      </c>
      <c r="CK39" s="3" t="s">
        <v>114</v>
      </c>
      <c r="CL39" s="3" t="s">
        <v>114</v>
      </c>
      <c r="CM39" s="3" t="s">
        <v>114</v>
      </c>
      <c r="CN39" s="3" t="s">
        <v>114</v>
      </c>
      <c r="CO39" s="3" t="s">
        <v>114</v>
      </c>
      <c r="CP39" s="2" t="s">
        <v>114</v>
      </c>
      <c r="CQ39" s="2" t="s">
        <v>114</v>
      </c>
      <c r="CR39" s="3" t="s">
        <v>114</v>
      </c>
      <c r="CS39" s="3" t="s">
        <v>114</v>
      </c>
      <c r="CT39" s="3" t="s">
        <v>114</v>
      </c>
      <c r="CU39" s="3" t="s">
        <v>114</v>
      </c>
      <c r="CV39" s="3" t="s">
        <v>114</v>
      </c>
      <c r="CW39" s="3">
        <f t="shared" si="0"/>
        <v>1.2668006146803398E-3</v>
      </c>
      <c r="CX39" s="3" t="s">
        <v>114</v>
      </c>
      <c r="CY39" s="3" t="s">
        <v>114</v>
      </c>
      <c r="CZ39" s="3">
        <v>0.27404522411381155</v>
      </c>
      <c r="DA39" s="3" t="s">
        <v>114</v>
      </c>
      <c r="DB39" s="3" t="s">
        <v>114</v>
      </c>
      <c r="DC39" s="7">
        <v>438830.07220000005</v>
      </c>
      <c r="DD39" s="7"/>
      <c r="DE39" t="s">
        <v>114</v>
      </c>
      <c r="DF39" s="3" t="s">
        <v>114</v>
      </c>
      <c r="DG39" t="s">
        <v>114</v>
      </c>
    </row>
    <row r="40" spans="1:111" x14ac:dyDescent="0.25">
      <c r="A40" t="s">
        <v>116</v>
      </c>
      <c r="B40" t="s">
        <v>117</v>
      </c>
      <c r="C40" t="s">
        <v>219</v>
      </c>
      <c r="D40" t="s">
        <v>220</v>
      </c>
      <c r="G40" s="2">
        <v>407</v>
      </c>
      <c r="I40" s="2">
        <v>0</v>
      </c>
      <c r="J40" s="2" t="s">
        <v>114</v>
      </c>
      <c r="K40" t="s">
        <v>114</v>
      </c>
      <c r="L40" s="3" t="s">
        <v>114</v>
      </c>
      <c r="M40" s="3" t="s">
        <v>114</v>
      </c>
      <c r="N40" s="3" t="s">
        <v>114</v>
      </c>
      <c r="O40" t="s">
        <v>114</v>
      </c>
      <c r="R40" t="s">
        <v>307</v>
      </c>
      <c r="S40" t="s">
        <v>114</v>
      </c>
      <c r="T40" t="s">
        <v>222</v>
      </c>
      <c r="U40" t="s">
        <v>114</v>
      </c>
      <c r="V40" t="s">
        <v>223</v>
      </c>
      <c r="W40" t="s">
        <v>308</v>
      </c>
      <c r="X40" t="s">
        <v>114</v>
      </c>
      <c r="Y40" t="s">
        <v>224</v>
      </c>
      <c r="Z40" t="s">
        <v>114</v>
      </c>
      <c r="AA40" t="s">
        <v>114</v>
      </c>
      <c r="AB40" s="3" t="s">
        <v>114</v>
      </c>
      <c r="AC40" s="3" t="s">
        <v>114</v>
      </c>
      <c r="AD40" s="3" t="s">
        <v>114</v>
      </c>
      <c r="AE40" s="3" t="s">
        <v>114</v>
      </c>
      <c r="AF40" s="3" t="s">
        <v>114</v>
      </c>
      <c r="AG40" s="3">
        <v>506499</v>
      </c>
      <c r="AH40" s="3" t="s">
        <v>114</v>
      </c>
      <c r="AI40" s="3" t="s">
        <v>114</v>
      </c>
      <c r="AJ40" s="3">
        <v>479387.75</v>
      </c>
      <c r="AK40" s="3" t="s">
        <v>114</v>
      </c>
      <c r="AL40" s="3" t="s">
        <v>114</v>
      </c>
      <c r="AM40" s="3" t="s">
        <v>114</v>
      </c>
      <c r="AN40" s="3" t="s">
        <v>114</v>
      </c>
      <c r="AO40" s="3" t="s">
        <v>114</v>
      </c>
      <c r="AP40" s="3" t="s">
        <v>114</v>
      </c>
      <c r="AQ40" s="3" t="s">
        <v>114</v>
      </c>
      <c r="AR40" s="3" t="s">
        <v>114</v>
      </c>
      <c r="AS40" s="3" t="s">
        <v>114</v>
      </c>
      <c r="AT40" s="3" t="s">
        <v>114</v>
      </c>
      <c r="AU40" s="3" t="s">
        <v>114</v>
      </c>
      <c r="AV40" s="3" t="s">
        <v>114</v>
      </c>
      <c r="AW40" s="3" t="s">
        <v>114</v>
      </c>
      <c r="AX40" t="s">
        <v>114</v>
      </c>
      <c r="AY40" t="s">
        <v>114</v>
      </c>
      <c r="AZ40" t="s">
        <v>114</v>
      </c>
      <c r="BA40" s="3">
        <v>0</v>
      </c>
      <c r="BB40" s="3" t="s">
        <v>114</v>
      </c>
      <c r="BC40" s="3" t="s">
        <v>114</v>
      </c>
      <c r="BD40" s="3" t="s">
        <v>114</v>
      </c>
      <c r="BM40" s="3" t="s">
        <v>114</v>
      </c>
      <c r="BP40" t="s">
        <v>225</v>
      </c>
      <c r="BT40" s="3" t="s">
        <v>114</v>
      </c>
      <c r="BU40" s="3" t="s">
        <v>114</v>
      </c>
      <c r="BX40" s="3" t="s">
        <v>114</v>
      </c>
      <c r="BY40" s="3" t="s">
        <v>114</v>
      </c>
      <c r="BZ40" s="3">
        <v>0</v>
      </c>
      <c r="CA40" s="3" t="s">
        <v>114</v>
      </c>
      <c r="CB40" s="3" t="s">
        <v>114</v>
      </c>
      <c r="CC40" s="3" t="s">
        <v>114</v>
      </c>
      <c r="CD40" s="3" t="s">
        <v>114</v>
      </c>
      <c r="CE40" s="3" t="s">
        <v>114</v>
      </c>
      <c r="CF40" t="s">
        <v>114</v>
      </c>
      <c r="CG40" s="3" t="s">
        <v>114</v>
      </c>
      <c r="CH40" s="3" t="s">
        <v>114</v>
      </c>
      <c r="CI40" t="s">
        <v>114</v>
      </c>
      <c r="CJ40" t="s">
        <v>226</v>
      </c>
      <c r="CK40" s="3" t="s">
        <v>114</v>
      </c>
      <c r="CL40" s="3" t="s">
        <v>114</v>
      </c>
      <c r="CM40" s="3" t="s">
        <v>114</v>
      </c>
      <c r="CN40" s="3" t="s">
        <v>114</v>
      </c>
      <c r="CO40" s="3" t="s">
        <v>114</v>
      </c>
      <c r="CP40" s="2" t="s">
        <v>114</v>
      </c>
      <c r="CQ40" s="2" t="s">
        <v>114</v>
      </c>
      <c r="CR40" s="3" t="s">
        <v>114</v>
      </c>
      <c r="CS40" s="3" t="s">
        <v>114</v>
      </c>
      <c r="CT40" s="3" t="s">
        <v>114</v>
      </c>
      <c r="CU40" s="3" t="s">
        <v>114</v>
      </c>
      <c r="CV40" s="3" t="s">
        <v>114</v>
      </c>
      <c r="CW40" s="3">
        <f t="shared" si="0"/>
        <v>1.2397772185110355E-2</v>
      </c>
      <c r="CX40" s="3" t="s">
        <v>114</v>
      </c>
      <c r="CY40" s="3" t="s">
        <v>114</v>
      </c>
      <c r="CZ40" s="3">
        <v>1.2287186885738299</v>
      </c>
      <c r="DA40" s="3" t="s">
        <v>114</v>
      </c>
      <c r="DB40" s="3" t="s">
        <v>114</v>
      </c>
      <c r="DC40" s="7">
        <v>4294689.4720949996</v>
      </c>
      <c r="DD40" s="7"/>
      <c r="DE40" t="s">
        <v>114</v>
      </c>
      <c r="DF40" s="3" t="s">
        <v>114</v>
      </c>
      <c r="DG40" t="s">
        <v>114</v>
      </c>
    </row>
    <row r="41" spans="1:111" x14ac:dyDescent="0.25">
      <c r="A41" t="s">
        <v>116</v>
      </c>
      <c r="B41" t="s">
        <v>152</v>
      </c>
      <c r="C41" t="s">
        <v>188</v>
      </c>
      <c r="D41" t="s">
        <v>189</v>
      </c>
      <c r="G41" s="2">
        <v>426</v>
      </c>
      <c r="I41" s="2">
        <v>0</v>
      </c>
      <c r="J41" s="2" t="s">
        <v>114</v>
      </c>
      <c r="K41" t="s">
        <v>114</v>
      </c>
      <c r="L41" s="3" t="s">
        <v>114</v>
      </c>
      <c r="M41" s="3" t="s">
        <v>114</v>
      </c>
      <c r="N41" s="3" t="s">
        <v>114</v>
      </c>
      <c r="O41" t="s">
        <v>114</v>
      </c>
      <c r="R41" t="s">
        <v>190</v>
      </c>
      <c r="S41" t="s">
        <v>114</v>
      </c>
      <c r="T41" t="s">
        <v>191</v>
      </c>
      <c r="U41" t="s">
        <v>114</v>
      </c>
      <c r="V41" t="s">
        <v>183</v>
      </c>
      <c r="W41" t="s">
        <v>158</v>
      </c>
      <c r="X41" t="s">
        <v>114</v>
      </c>
      <c r="Y41" t="s">
        <v>159</v>
      </c>
      <c r="Z41" t="s">
        <v>114</v>
      </c>
      <c r="AA41" t="s">
        <v>114</v>
      </c>
      <c r="AB41" s="3" t="s">
        <v>114</v>
      </c>
      <c r="AC41" s="3" t="s">
        <v>114</v>
      </c>
      <c r="AD41" s="3" t="s">
        <v>114</v>
      </c>
      <c r="AE41" s="3" t="s">
        <v>114</v>
      </c>
      <c r="AF41" s="3" t="s">
        <v>114</v>
      </c>
      <c r="AG41" s="3">
        <v>327283.87</v>
      </c>
      <c r="AH41" s="3" t="s">
        <v>114</v>
      </c>
      <c r="AI41" s="3" t="s">
        <v>114</v>
      </c>
      <c r="AJ41" s="3">
        <v>313990.13</v>
      </c>
      <c r="AK41" s="3" t="s">
        <v>114</v>
      </c>
      <c r="AL41" s="3" t="s">
        <v>114</v>
      </c>
      <c r="AM41" s="3" t="s">
        <v>114</v>
      </c>
      <c r="AN41" s="3" t="s">
        <v>114</v>
      </c>
      <c r="AO41" s="3" t="s">
        <v>114</v>
      </c>
      <c r="AP41" s="3" t="s">
        <v>114</v>
      </c>
      <c r="AQ41" s="3" t="s">
        <v>114</v>
      </c>
      <c r="AR41" s="3" t="s">
        <v>114</v>
      </c>
      <c r="AS41" s="3" t="s">
        <v>114</v>
      </c>
      <c r="AT41" s="3" t="s">
        <v>114</v>
      </c>
      <c r="AU41" s="3" t="s">
        <v>114</v>
      </c>
      <c r="AV41" s="3" t="s">
        <v>114</v>
      </c>
      <c r="AW41" s="3" t="s">
        <v>114</v>
      </c>
      <c r="AX41" t="s">
        <v>114</v>
      </c>
      <c r="AY41" t="s">
        <v>114</v>
      </c>
      <c r="AZ41" t="s">
        <v>114</v>
      </c>
      <c r="BA41" s="3">
        <v>120</v>
      </c>
      <c r="BB41" s="3" t="s">
        <v>114</v>
      </c>
      <c r="BC41" s="3" t="s">
        <v>114</v>
      </c>
      <c r="BD41" s="3" t="s">
        <v>114</v>
      </c>
      <c r="BM41" s="3" t="s">
        <v>114</v>
      </c>
      <c r="BP41" t="s">
        <v>160</v>
      </c>
      <c r="BT41" s="3" t="s">
        <v>114</v>
      </c>
      <c r="BU41" s="3" t="s">
        <v>114</v>
      </c>
      <c r="BX41" s="3" t="s">
        <v>114</v>
      </c>
      <c r="BY41" s="3" t="s">
        <v>114</v>
      </c>
      <c r="BZ41" s="3">
        <v>0</v>
      </c>
      <c r="CA41" s="3" t="s">
        <v>114</v>
      </c>
      <c r="CB41" s="3" t="s">
        <v>114</v>
      </c>
      <c r="CC41" s="3" t="s">
        <v>114</v>
      </c>
      <c r="CD41" s="3" t="s">
        <v>114</v>
      </c>
      <c r="CE41" s="3" t="s">
        <v>114</v>
      </c>
      <c r="CF41" t="s">
        <v>114</v>
      </c>
      <c r="CG41" s="3" t="s">
        <v>114</v>
      </c>
      <c r="CH41" s="3" t="s">
        <v>114</v>
      </c>
      <c r="CI41" t="s">
        <v>114</v>
      </c>
      <c r="CJ41" t="s">
        <v>161</v>
      </c>
      <c r="CK41" s="3" t="s">
        <v>114</v>
      </c>
      <c r="CL41" s="3" t="s">
        <v>114</v>
      </c>
      <c r="CM41" s="3" t="s">
        <v>114</v>
      </c>
      <c r="CN41" s="3" t="s">
        <v>114</v>
      </c>
      <c r="CO41" s="3" t="s">
        <v>114</v>
      </c>
      <c r="CP41" s="2" t="s">
        <v>114</v>
      </c>
      <c r="CQ41" s="2" t="s">
        <v>114</v>
      </c>
      <c r="CR41" s="3" t="s">
        <v>114</v>
      </c>
      <c r="CS41" s="3" t="s">
        <v>114</v>
      </c>
      <c r="CT41" s="3" t="s">
        <v>114</v>
      </c>
      <c r="CU41" s="3" t="s">
        <v>114</v>
      </c>
      <c r="CV41" s="3" t="s">
        <v>114</v>
      </c>
      <c r="CW41" s="3">
        <f t="shared" si="0"/>
        <v>0.4024816563131664</v>
      </c>
      <c r="CX41" s="3" t="s">
        <v>114</v>
      </c>
      <c r="CY41" s="3" t="s">
        <v>114</v>
      </c>
      <c r="CZ41" s="3">
        <v>0.79395972654984082</v>
      </c>
      <c r="DA41" s="3" t="s">
        <v>114</v>
      </c>
      <c r="DB41" s="3" t="s">
        <v>114</v>
      </c>
      <c r="DC41" s="7">
        <v>139422930.69035998</v>
      </c>
      <c r="DD41" s="7"/>
      <c r="DE41" t="s">
        <v>114</v>
      </c>
      <c r="DF41" s="3" t="s">
        <v>114</v>
      </c>
      <c r="DG41" t="s">
        <v>114</v>
      </c>
    </row>
    <row r="42" spans="1:111" x14ac:dyDescent="0.25">
      <c r="A42" t="s">
        <v>116</v>
      </c>
      <c r="B42" t="s">
        <v>311</v>
      </c>
      <c r="C42" t="s">
        <v>114</v>
      </c>
      <c r="D42" t="s">
        <v>180</v>
      </c>
      <c r="G42" s="2">
        <v>474</v>
      </c>
      <c r="I42" s="2">
        <v>0</v>
      </c>
      <c r="J42" s="2" t="s">
        <v>114</v>
      </c>
      <c r="K42" t="s">
        <v>114</v>
      </c>
      <c r="L42" s="3" t="s">
        <v>114</v>
      </c>
      <c r="M42" s="3" t="s">
        <v>114</v>
      </c>
      <c r="N42" s="3" t="s">
        <v>114</v>
      </c>
      <c r="O42" t="s">
        <v>114</v>
      </c>
      <c r="R42" t="s">
        <v>228</v>
      </c>
      <c r="S42" t="s">
        <v>114</v>
      </c>
      <c r="T42" t="s">
        <v>214</v>
      </c>
      <c r="U42" t="s">
        <v>114</v>
      </c>
      <c r="V42" t="s">
        <v>183</v>
      </c>
      <c r="W42" t="s">
        <v>229</v>
      </c>
      <c r="X42" t="s">
        <v>114</v>
      </c>
      <c r="Y42" t="s">
        <v>140</v>
      </c>
      <c r="Z42" t="s">
        <v>114</v>
      </c>
      <c r="AA42" t="s">
        <v>114</v>
      </c>
      <c r="AB42" s="3" t="s">
        <v>114</v>
      </c>
      <c r="AC42" s="3" t="s">
        <v>114</v>
      </c>
      <c r="AD42" s="3" t="s">
        <v>114</v>
      </c>
      <c r="AE42" s="3" t="s">
        <v>114</v>
      </c>
      <c r="AF42" s="3" t="s">
        <v>114</v>
      </c>
      <c r="AG42" s="3">
        <v>1999416.07</v>
      </c>
      <c r="AH42" s="3" t="s">
        <v>114</v>
      </c>
      <c r="AI42" s="3" t="s">
        <v>114</v>
      </c>
      <c r="AJ42" s="3">
        <v>2001411.22</v>
      </c>
      <c r="AK42" s="3" t="s">
        <v>114</v>
      </c>
      <c r="AL42" s="3" t="s">
        <v>114</v>
      </c>
      <c r="AM42" s="3" t="s">
        <v>114</v>
      </c>
      <c r="AN42" s="3" t="s">
        <v>114</v>
      </c>
      <c r="AO42" s="3" t="s">
        <v>114</v>
      </c>
      <c r="AP42" s="3" t="s">
        <v>114</v>
      </c>
      <c r="AQ42" s="3" t="s">
        <v>114</v>
      </c>
      <c r="AR42" s="3" t="s">
        <v>114</v>
      </c>
      <c r="AS42" s="3" t="s">
        <v>114</v>
      </c>
      <c r="AT42" s="3" t="s">
        <v>114</v>
      </c>
      <c r="AU42" s="3" t="s">
        <v>114</v>
      </c>
      <c r="AV42" s="3" t="s">
        <v>114</v>
      </c>
      <c r="AW42" s="3" t="s">
        <v>114</v>
      </c>
      <c r="AX42" t="s">
        <v>114</v>
      </c>
      <c r="AY42" t="s">
        <v>114</v>
      </c>
      <c r="AZ42" t="s">
        <v>114</v>
      </c>
      <c r="BA42" s="3">
        <v>4.5488595310599997</v>
      </c>
      <c r="BB42" s="3" t="s">
        <v>114</v>
      </c>
      <c r="BC42" s="3" t="s">
        <v>114</v>
      </c>
      <c r="BD42" s="3" t="s">
        <v>114</v>
      </c>
      <c r="BM42" s="3" t="s">
        <v>114</v>
      </c>
      <c r="BP42" t="s">
        <v>133</v>
      </c>
      <c r="BT42" s="3" t="s">
        <v>114</v>
      </c>
      <c r="BU42" s="3" t="s">
        <v>114</v>
      </c>
      <c r="BX42" s="3" t="s">
        <v>114</v>
      </c>
      <c r="BY42" s="3" t="s">
        <v>114</v>
      </c>
      <c r="BZ42" s="3">
        <v>0</v>
      </c>
      <c r="CA42" s="3" t="s">
        <v>114</v>
      </c>
      <c r="CB42" s="3" t="s">
        <v>114</v>
      </c>
      <c r="CC42" s="3" t="s">
        <v>114</v>
      </c>
      <c r="CD42" s="3" t="s">
        <v>114</v>
      </c>
      <c r="CE42" s="3" t="s">
        <v>114</v>
      </c>
      <c r="CF42" t="s">
        <v>114</v>
      </c>
      <c r="CG42" s="3" t="s">
        <v>114</v>
      </c>
      <c r="CH42" s="3" t="s">
        <v>114</v>
      </c>
      <c r="CI42" t="s">
        <v>114</v>
      </c>
      <c r="CJ42" t="s">
        <v>141</v>
      </c>
      <c r="CK42" s="3" t="s">
        <v>114</v>
      </c>
      <c r="CL42" s="3" t="s">
        <v>114</v>
      </c>
      <c r="CM42" s="3" t="s">
        <v>114</v>
      </c>
      <c r="CN42" s="3" t="s">
        <v>114</v>
      </c>
      <c r="CO42" s="3" t="s">
        <v>114</v>
      </c>
      <c r="CP42" s="2" t="s">
        <v>114</v>
      </c>
      <c r="CQ42" s="2" t="s">
        <v>114</v>
      </c>
      <c r="CR42" s="3" t="s">
        <v>114</v>
      </c>
      <c r="CS42" s="3" t="s">
        <v>114</v>
      </c>
      <c r="CT42" s="3" t="s">
        <v>114</v>
      </c>
      <c r="CU42" s="3" t="s">
        <v>114</v>
      </c>
      <c r="CV42" s="3" t="s">
        <v>114</v>
      </c>
      <c r="CW42" s="3">
        <f t="shared" si="0"/>
        <v>5.6409424042581239E-3</v>
      </c>
      <c r="CX42" s="3" t="s">
        <v>114</v>
      </c>
      <c r="CY42" s="3" t="s">
        <v>114</v>
      </c>
      <c r="CZ42" s="3">
        <v>4.8503943570349417</v>
      </c>
      <c r="DA42" s="3" t="s">
        <v>114</v>
      </c>
      <c r="DB42" s="3" t="s">
        <v>114</v>
      </c>
      <c r="DC42" s="7">
        <v>1954068.4886399999</v>
      </c>
      <c r="DD42" s="7"/>
      <c r="DE42" t="s">
        <v>114</v>
      </c>
      <c r="DF42" s="3" t="s">
        <v>114</v>
      </c>
      <c r="DG42" t="s">
        <v>114</v>
      </c>
    </row>
    <row r="43" spans="1:111" x14ac:dyDescent="0.25">
      <c r="A43" t="s">
        <v>116</v>
      </c>
      <c r="B43" t="s">
        <v>310</v>
      </c>
      <c r="C43" t="s">
        <v>114</v>
      </c>
      <c r="D43" t="s">
        <v>242</v>
      </c>
      <c r="G43" s="2">
        <v>475</v>
      </c>
      <c r="I43" s="2">
        <v>0</v>
      </c>
      <c r="J43" s="2" t="s">
        <v>114</v>
      </c>
      <c r="K43" t="s">
        <v>114</v>
      </c>
      <c r="L43" s="3" t="s">
        <v>114</v>
      </c>
      <c r="M43" s="3" t="s">
        <v>114</v>
      </c>
      <c r="N43" s="3" t="s">
        <v>114</v>
      </c>
      <c r="O43" t="s">
        <v>114</v>
      </c>
      <c r="R43" t="s">
        <v>243</v>
      </c>
      <c r="S43" t="s">
        <v>114</v>
      </c>
      <c r="T43" t="s">
        <v>244</v>
      </c>
      <c r="U43" t="s">
        <v>114</v>
      </c>
      <c r="V43" t="s">
        <v>245</v>
      </c>
      <c r="W43" t="s">
        <v>246</v>
      </c>
      <c r="X43" t="s">
        <v>114</v>
      </c>
      <c r="Y43" t="s">
        <v>132</v>
      </c>
      <c r="Z43" t="s">
        <v>114</v>
      </c>
      <c r="AA43" t="s">
        <v>114</v>
      </c>
      <c r="AB43" s="3" t="s">
        <v>114</v>
      </c>
      <c r="AC43" s="3" t="s">
        <v>114</v>
      </c>
      <c r="AD43" s="3" t="s">
        <v>114</v>
      </c>
      <c r="AE43" s="3" t="s">
        <v>114</v>
      </c>
      <c r="AF43" s="3" t="s">
        <v>114</v>
      </c>
      <c r="AG43" s="3">
        <v>592729.94999999995</v>
      </c>
      <c r="AH43" s="3" t="s">
        <v>114</v>
      </c>
      <c r="AI43" s="3" t="s">
        <v>114</v>
      </c>
      <c r="AJ43" s="3">
        <v>510186.94</v>
      </c>
      <c r="AK43" s="3" t="s">
        <v>114</v>
      </c>
      <c r="AL43" s="3" t="s">
        <v>114</v>
      </c>
      <c r="AM43" s="3" t="s">
        <v>114</v>
      </c>
      <c r="AN43" s="3" t="s">
        <v>114</v>
      </c>
      <c r="AO43" s="3" t="s">
        <v>114</v>
      </c>
      <c r="AP43" s="3" t="s">
        <v>114</v>
      </c>
      <c r="AQ43" s="3" t="s">
        <v>114</v>
      </c>
      <c r="AR43" s="3" t="s">
        <v>114</v>
      </c>
      <c r="AS43" s="3" t="s">
        <v>114</v>
      </c>
      <c r="AT43" s="3" t="s">
        <v>114</v>
      </c>
      <c r="AU43" s="3" t="s">
        <v>114</v>
      </c>
      <c r="AV43" s="3" t="s">
        <v>114</v>
      </c>
      <c r="AW43" s="3" t="s">
        <v>114</v>
      </c>
      <c r="AX43" t="s">
        <v>114</v>
      </c>
      <c r="AY43" t="s">
        <v>114</v>
      </c>
      <c r="AZ43" t="s">
        <v>114</v>
      </c>
      <c r="BA43" s="3">
        <v>-42.913555830584798</v>
      </c>
      <c r="BB43" s="3" t="s">
        <v>114</v>
      </c>
      <c r="BC43" s="3" t="s">
        <v>114</v>
      </c>
      <c r="BD43" s="3" t="s">
        <v>114</v>
      </c>
      <c r="BM43" s="3" t="s">
        <v>114</v>
      </c>
      <c r="BP43" t="s">
        <v>133</v>
      </c>
      <c r="BT43" s="3" t="s">
        <v>114</v>
      </c>
      <c r="BU43" s="3" t="s">
        <v>114</v>
      </c>
      <c r="BX43" s="3" t="s">
        <v>114</v>
      </c>
      <c r="BY43" s="3" t="s">
        <v>114</v>
      </c>
      <c r="BZ43" s="3">
        <v>0</v>
      </c>
      <c r="CA43" s="3" t="s">
        <v>114</v>
      </c>
      <c r="CB43" s="3" t="s">
        <v>114</v>
      </c>
      <c r="CC43" s="3" t="s">
        <v>114</v>
      </c>
      <c r="CD43" s="3" t="s">
        <v>114</v>
      </c>
      <c r="CE43" s="3" t="s">
        <v>114</v>
      </c>
      <c r="CF43" t="s">
        <v>114</v>
      </c>
      <c r="CG43" s="3" t="s">
        <v>114</v>
      </c>
      <c r="CH43" s="3" t="s">
        <v>114</v>
      </c>
      <c r="CI43" t="s">
        <v>114</v>
      </c>
      <c r="CJ43" t="s">
        <v>134</v>
      </c>
      <c r="CK43" s="3" t="s">
        <v>114</v>
      </c>
      <c r="CL43" s="3" t="s">
        <v>114</v>
      </c>
      <c r="CM43" s="3" t="s">
        <v>114</v>
      </c>
      <c r="CN43" s="3" t="s">
        <v>114</v>
      </c>
      <c r="CO43" s="3" t="s">
        <v>114</v>
      </c>
      <c r="CP43" s="2" t="s">
        <v>114</v>
      </c>
      <c r="CQ43" s="2" t="s">
        <v>114</v>
      </c>
      <c r="CR43" s="3" t="s">
        <v>114</v>
      </c>
      <c r="CS43" s="3" t="s">
        <v>114</v>
      </c>
      <c r="CT43" s="3" t="s">
        <v>114</v>
      </c>
      <c r="CU43" s="3" t="s">
        <v>114</v>
      </c>
      <c r="CV43" s="3" t="s">
        <v>114</v>
      </c>
      <c r="CW43" s="3">
        <f t="shared" si="0"/>
        <v>2.1388423128194618E-2</v>
      </c>
      <c r="CX43" s="3" t="s">
        <v>114</v>
      </c>
      <c r="CY43" s="3" t="s">
        <v>114</v>
      </c>
      <c r="CZ43" s="3">
        <v>1.4379068208277446</v>
      </c>
      <c r="DA43" s="3" t="s">
        <v>114</v>
      </c>
      <c r="DB43" s="3" t="s">
        <v>114</v>
      </c>
      <c r="DC43" s="7">
        <v>7409124.337975</v>
      </c>
      <c r="DD43" s="7"/>
      <c r="DE43" t="s">
        <v>114</v>
      </c>
      <c r="DF43" s="3" t="s">
        <v>114</v>
      </c>
      <c r="DG43" t="s">
        <v>114</v>
      </c>
    </row>
    <row r="44" spans="1:111" x14ac:dyDescent="0.25">
      <c r="A44" t="s">
        <v>116</v>
      </c>
      <c r="B44" t="s">
        <v>311</v>
      </c>
      <c r="C44" t="s">
        <v>114</v>
      </c>
      <c r="D44" t="s">
        <v>180</v>
      </c>
      <c r="G44" s="2">
        <v>477</v>
      </c>
      <c r="I44" s="2">
        <v>0</v>
      </c>
      <c r="J44" s="2" t="s">
        <v>114</v>
      </c>
      <c r="K44" t="s">
        <v>114</v>
      </c>
      <c r="L44" s="3" t="s">
        <v>114</v>
      </c>
      <c r="M44" s="3" t="s">
        <v>114</v>
      </c>
      <c r="N44" s="3" t="s">
        <v>114</v>
      </c>
      <c r="O44" t="s">
        <v>114</v>
      </c>
      <c r="R44" t="s">
        <v>213</v>
      </c>
      <c r="S44" t="s">
        <v>114</v>
      </c>
      <c r="T44" t="s">
        <v>214</v>
      </c>
      <c r="U44" t="s">
        <v>114</v>
      </c>
      <c r="V44" t="s">
        <v>183</v>
      </c>
      <c r="W44" t="s">
        <v>215</v>
      </c>
      <c r="X44" t="s">
        <v>114</v>
      </c>
      <c r="Y44" t="s">
        <v>140</v>
      </c>
      <c r="Z44" t="s">
        <v>114</v>
      </c>
      <c r="AA44" t="s">
        <v>114</v>
      </c>
      <c r="AB44" s="3" t="s">
        <v>114</v>
      </c>
      <c r="AC44" s="3" t="s">
        <v>114</v>
      </c>
      <c r="AD44" s="3" t="s">
        <v>114</v>
      </c>
      <c r="AE44" s="3" t="s">
        <v>114</v>
      </c>
      <c r="AF44" s="3" t="s">
        <v>114</v>
      </c>
      <c r="AG44" s="3">
        <v>989401.77</v>
      </c>
      <c r="AH44" s="3" t="s">
        <v>114</v>
      </c>
      <c r="AI44" s="3" t="s">
        <v>114</v>
      </c>
      <c r="AJ44" s="3">
        <v>999765.14</v>
      </c>
      <c r="AK44" s="3" t="s">
        <v>114</v>
      </c>
      <c r="AL44" s="3" t="s">
        <v>114</v>
      </c>
      <c r="AM44" s="3" t="s">
        <v>114</v>
      </c>
      <c r="AN44" s="3" t="s">
        <v>114</v>
      </c>
      <c r="AO44" s="3" t="s">
        <v>114</v>
      </c>
      <c r="AP44" s="3" t="s">
        <v>114</v>
      </c>
      <c r="AQ44" s="3" t="s">
        <v>114</v>
      </c>
      <c r="AR44" s="3" t="s">
        <v>114</v>
      </c>
      <c r="AS44" s="3" t="s">
        <v>114</v>
      </c>
      <c r="AT44" s="3" t="s">
        <v>114</v>
      </c>
      <c r="AU44" s="3" t="s">
        <v>114</v>
      </c>
      <c r="AV44" s="3" t="s">
        <v>114</v>
      </c>
      <c r="AW44" s="3" t="s">
        <v>114</v>
      </c>
      <c r="AX44" t="s">
        <v>114</v>
      </c>
      <c r="AY44" t="s">
        <v>114</v>
      </c>
      <c r="AZ44" t="s">
        <v>114</v>
      </c>
      <c r="BA44" s="3">
        <v>4.4689972940829996</v>
      </c>
      <c r="BB44" s="3" t="s">
        <v>114</v>
      </c>
      <c r="BC44" s="3" t="s">
        <v>114</v>
      </c>
      <c r="BD44" s="3" t="s">
        <v>114</v>
      </c>
      <c r="BM44" s="3" t="s">
        <v>114</v>
      </c>
      <c r="BP44" t="s">
        <v>133</v>
      </c>
      <c r="BT44" s="3" t="s">
        <v>114</v>
      </c>
      <c r="BU44" s="3" t="s">
        <v>114</v>
      </c>
      <c r="BX44" s="3" t="s">
        <v>114</v>
      </c>
      <c r="BY44" s="3" t="s">
        <v>114</v>
      </c>
      <c r="BZ44" s="3">
        <v>0</v>
      </c>
      <c r="CA44" s="3" t="s">
        <v>114</v>
      </c>
      <c r="CB44" s="3" t="s">
        <v>114</v>
      </c>
      <c r="CC44" s="3" t="s">
        <v>114</v>
      </c>
      <c r="CD44" s="3" t="s">
        <v>114</v>
      </c>
      <c r="CE44" s="3" t="s">
        <v>114</v>
      </c>
      <c r="CF44" t="s">
        <v>114</v>
      </c>
      <c r="CG44" s="3" t="s">
        <v>114</v>
      </c>
      <c r="CH44" s="3" t="s">
        <v>114</v>
      </c>
      <c r="CI44" t="s">
        <v>114</v>
      </c>
      <c r="CJ44" t="s">
        <v>141</v>
      </c>
      <c r="CK44" s="3" t="s">
        <v>114</v>
      </c>
      <c r="CL44" s="3" t="s">
        <v>114</v>
      </c>
      <c r="CM44" s="3" t="s">
        <v>114</v>
      </c>
      <c r="CN44" s="3" t="s">
        <v>114</v>
      </c>
      <c r="CO44" s="3" t="s">
        <v>114</v>
      </c>
      <c r="CP44" s="2" t="s">
        <v>114</v>
      </c>
      <c r="CQ44" s="2" t="s">
        <v>114</v>
      </c>
      <c r="CR44" s="3" t="s">
        <v>114</v>
      </c>
      <c r="CS44" s="3" t="s">
        <v>114</v>
      </c>
      <c r="CT44" s="3" t="s">
        <v>114</v>
      </c>
      <c r="CU44" s="3" t="s">
        <v>114</v>
      </c>
      <c r="CV44" s="3" t="s">
        <v>114</v>
      </c>
      <c r="CW44" s="3">
        <f t="shared" si="0"/>
        <v>5.6766445713736817E-3</v>
      </c>
      <c r="CX44" s="3" t="s">
        <v>114</v>
      </c>
      <c r="CY44" s="3" t="s">
        <v>114</v>
      </c>
      <c r="CZ44" s="3">
        <v>2.4001951540023296</v>
      </c>
      <c r="DA44" s="3" t="s">
        <v>114</v>
      </c>
      <c r="DB44" s="3" t="s">
        <v>114</v>
      </c>
      <c r="DC44" s="7">
        <v>1966436.0107199999</v>
      </c>
      <c r="DD44" s="7"/>
      <c r="DE44" t="s">
        <v>114</v>
      </c>
      <c r="DF44" s="3" t="s">
        <v>114</v>
      </c>
      <c r="DG44" t="s">
        <v>114</v>
      </c>
    </row>
    <row r="45" spans="1:111" x14ac:dyDescent="0.25">
      <c r="A45" t="s">
        <v>116</v>
      </c>
      <c r="B45" t="s">
        <v>117</v>
      </c>
      <c r="C45" t="s">
        <v>142</v>
      </c>
      <c r="D45" t="s">
        <v>143</v>
      </c>
      <c r="G45" s="2">
        <v>497</v>
      </c>
      <c r="I45" s="2">
        <v>0</v>
      </c>
      <c r="J45" s="2" t="s">
        <v>114</v>
      </c>
      <c r="K45" t="s">
        <v>114</v>
      </c>
      <c r="L45" s="3" t="s">
        <v>114</v>
      </c>
      <c r="M45" s="3" t="s">
        <v>114</v>
      </c>
      <c r="N45" s="3" t="s">
        <v>114</v>
      </c>
      <c r="O45" t="s">
        <v>114</v>
      </c>
      <c r="R45" t="s">
        <v>241</v>
      </c>
      <c r="S45" t="s">
        <v>114</v>
      </c>
      <c r="T45" t="s">
        <v>145</v>
      </c>
      <c r="U45" t="s">
        <v>114</v>
      </c>
      <c r="V45" t="s">
        <v>146</v>
      </c>
      <c r="W45" s="5">
        <v>45041</v>
      </c>
      <c r="X45" t="s">
        <v>114</v>
      </c>
      <c r="Y45" t="s">
        <v>148</v>
      </c>
      <c r="Z45" t="s">
        <v>114</v>
      </c>
      <c r="AA45" t="s">
        <v>114</v>
      </c>
      <c r="AB45" s="3" t="s">
        <v>114</v>
      </c>
      <c r="AC45" s="3" t="s">
        <v>114</v>
      </c>
      <c r="AD45" s="3" t="s">
        <v>114</v>
      </c>
      <c r="AE45" s="3" t="s">
        <v>114</v>
      </c>
      <c r="AF45" s="3" t="s">
        <v>114</v>
      </c>
      <c r="AG45" s="3">
        <v>205294.27</v>
      </c>
      <c r="AH45" s="3" t="s">
        <v>114</v>
      </c>
      <c r="AI45" s="3" t="s">
        <v>114</v>
      </c>
      <c r="AJ45" s="3">
        <v>199589.19</v>
      </c>
      <c r="AK45" s="3" t="s">
        <v>114</v>
      </c>
      <c r="AL45" s="3" t="s">
        <v>114</v>
      </c>
      <c r="AM45" s="3" t="s">
        <v>114</v>
      </c>
      <c r="AN45" s="3" t="s">
        <v>114</v>
      </c>
      <c r="AO45" s="3" t="s">
        <v>114</v>
      </c>
      <c r="AP45" s="3" t="s">
        <v>114</v>
      </c>
      <c r="AQ45" s="3" t="s">
        <v>114</v>
      </c>
      <c r="AR45" s="3" t="s">
        <v>114</v>
      </c>
      <c r="AS45" s="3" t="s">
        <v>114</v>
      </c>
      <c r="AT45" s="3" t="s">
        <v>114</v>
      </c>
      <c r="AU45" s="3" t="s">
        <v>114</v>
      </c>
      <c r="AV45" s="3" t="s">
        <v>114</v>
      </c>
      <c r="AW45" s="3" t="s">
        <v>114</v>
      </c>
      <c r="AX45" t="s">
        <v>114</v>
      </c>
      <c r="AY45" t="s">
        <v>114</v>
      </c>
      <c r="AZ45" t="s">
        <v>114</v>
      </c>
      <c r="BA45" s="3">
        <v>-0.40601625619499998</v>
      </c>
      <c r="BB45" s="3" t="s">
        <v>114</v>
      </c>
      <c r="BC45" s="3" t="s">
        <v>114</v>
      </c>
      <c r="BD45" s="3" t="s">
        <v>114</v>
      </c>
      <c r="BM45" s="3" t="s">
        <v>114</v>
      </c>
      <c r="BP45" t="s">
        <v>149</v>
      </c>
      <c r="BT45" s="3" t="s">
        <v>114</v>
      </c>
      <c r="BU45" s="3" t="s">
        <v>114</v>
      </c>
      <c r="BX45" s="3" t="s">
        <v>114</v>
      </c>
      <c r="BY45" s="3" t="s">
        <v>114</v>
      </c>
      <c r="BZ45" s="3">
        <v>0</v>
      </c>
      <c r="CA45" s="3" t="s">
        <v>114</v>
      </c>
      <c r="CB45" s="3" t="s">
        <v>114</v>
      </c>
      <c r="CC45" s="3" t="s">
        <v>114</v>
      </c>
      <c r="CD45" s="3" t="s">
        <v>114</v>
      </c>
      <c r="CE45" s="3" t="s">
        <v>114</v>
      </c>
      <c r="CF45" t="s">
        <v>114</v>
      </c>
      <c r="CG45" s="3" t="s">
        <v>114</v>
      </c>
      <c r="CH45" s="3" t="s">
        <v>114</v>
      </c>
      <c r="CI45" t="s">
        <v>114</v>
      </c>
      <c r="CJ45" t="s">
        <v>150</v>
      </c>
      <c r="CK45" s="3" t="s">
        <v>114</v>
      </c>
      <c r="CL45" s="3" t="s">
        <v>114</v>
      </c>
      <c r="CM45" s="3" t="s">
        <v>114</v>
      </c>
      <c r="CN45" s="3" t="s">
        <v>114</v>
      </c>
      <c r="CO45" s="3" t="s">
        <v>114</v>
      </c>
      <c r="CP45" s="2" t="s">
        <v>114</v>
      </c>
      <c r="CQ45" s="2" t="s">
        <v>114</v>
      </c>
      <c r="CR45" s="3" t="s">
        <v>114</v>
      </c>
      <c r="CS45" s="3" t="s">
        <v>114</v>
      </c>
      <c r="CT45" s="3" t="s">
        <v>114</v>
      </c>
      <c r="CU45" s="3" t="s">
        <v>114</v>
      </c>
      <c r="CV45" s="3" t="s">
        <v>114</v>
      </c>
      <c r="CW45" s="3">
        <f t="shared" si="0"/>
        <v>1.5584156076636853E-3</v>
      </c>
      <c r="CX45" s="3" t="s">
        <v>114</v>
      </c>
      <c r="CY45" s="3" t="s">
        <v>114</v>
      </c>
      <c r="CZ45" s="3">
        <v>0.49802449009005301</v>
      </c>
      <c r="DA45" s="3" t="s">
        <v>114</v>
      </c>
      <c r="DB45" s="3" t="s">
        <v>114</v>
      </c>
      <c r="DC45" s="7">
        <v>539847.88585000008</v>
      </c>
      <c r="DD45" s="7"/>
      <c r="DE45" t="s">
        <v>114</v>
      </c>
      <c r="DF45" s="3" t="s">
        <v>114</v>
      </c>
      <c r="DG45" t="s">
        <v>114</v>
      </c>
    </row>
    <row r="46" spans="1:111" x14ac:dyDescent="0.25">
      <c r="A46" t="s">
        <v>116</v>
      </c>
      <c r="B46" t="s">
        <v>258</v>
      </c>
      <c r="C46" t="s">
        <v>259</v>
      </c>
      <c r="D46" t="s">
        <v>260</v>
      </c>
      <c r="G46" s="2">
        <v>911</v>
      </c>
      <c r="I46" s="2">
        <v>0</v>
      </c>
      <c r="J46" s="2" t="s">
        <v>114</v>
      </c>
      <c r="K46" t="s">
        <v>114</v>
      </c>
      <c r="L46" s="3" t="s">
        <v>114</v>
      </c>
      <c r="M46" s="3" t="s">
        <v>114</v>
      </c>
      <c r="N46" s="3" t="s">
        <v>114</v>
      </c>
      <c r="O46" t="s">
        <v>114</v>
      </c>
      <c r="R46" t="s">
        <v>261</v>
      </c>
      <c r="S46" t="s">
        <v>114</v>
      </c>
      <c r="T46" t="s">
        <v>262</v>
      </c>
      <c r="U46" t="s">
        <v>114</v>
      </c>
      <c r="V46" t="s">
        <v>263</v>
      </c>
      <c r="W46" t="s">
        <v>264</v>
      </c>
      <c r="X46" t="s">
        <v>114</v>
      </c>
      <c r="Y46" t="s">
        <v>265</v>
      </c>
      <c r="Z46" t="s">
        <v>114</v>
      </c>
      <c r="AA46" t="s">
        <v>114</v>
      </c>
      <c r="AB46" s="3" t="s">
        <v>114</v>
      </c>
      <c r="AC46" s="3" t="s">
        <v>114</v>
      </c>
      <c r="AD46" s="3" t="s">
        <v>114</v>
      </c>
      <c r="AE46" s="3" t="s">
        <v>114</v>
      </c>
      <c r="AF46" s="3" t="s">
        <v>114</v>
      </c>
      <c r="AG46" s="3">
        <v>1564461.74</v>
      </c>
      <c r="AH46" s="3" t="s">
        <v>114</v>
      </c>
      <c r="AI46" s="3" t="s">
        <v>114</v>
      </c>
      <c r="AJ46" s="3">
        <v>1493369.09</v>
      </c>
      <c r="AK46" s="3" t="s">
        <v>114</v>
      </c>
      <c r="AL46" s="3" t="s">
        <v>114</v>
      </c>
      <c r="AM46" s="3" t="s">
        <v>114</v>
      </c>
      <c r="AN46" s="3" t="s">
        <v>114</v>
      </c>
      <c r="AO46" s="3" t="s">
        <v>114</v>
      </c>
      <c r="AP46" s="3" t="s">
        <v>114</v>
      </c>
      <c r="AQ46" s="3" t="s">
        <v>114</v>
      </c>
      <c r="AR46" s="3" t="s">
        <v>114</v>
      </c>
      <c r="AS46" s="3" t="s">
        <v>114</v>
      </c>
      <c r="AT46" s="3" t="s">
        <v>114</v>
      </c>
      <c r="AU46" s="3" t="s">
        <v>114</v>
      </c>
      <c r="AV46" s="3" t="s">
        <v>114</v>
      </c>
      <c r="AW46" s="3" t="s">
        <v>114</v>
      </c>
      <c r="AX46" t="s">
        <v>114</v>
      </c>
      <c r="AY46" t="s">
        <v>114</v>
      </c>
      <c r="AZ46" t="s">
        <v>114</v>
      </c>
      <c r="BA46" s="3">
        <v>6.994753086277</v>
      </c>
      <c r="BB46" s="3" t="s">
        <v>114</v>
      </c>
      <c r="BC46" s="3" t="s">
        <v>114</v>
      </c>
      <c r="BD46" s="3" t="s">
        <v>114</v>
      </c>
      <c r="BM46" s="3" t="s">
        <v>114</v>
      </c>
      <c r="BP46" t="s">
        <v>266</v>
      </c>
      <c r="BT46" s="3" t="s">
        <v>114</v>
      </c>
      <c r="BU46" s="3" t="s">
        <v>114</v>
      </c>
      <c r="BX46" s="3" t="s">
        <v>114</v>
      </c>
      <c r="BY46" s="3" t="s">
        <v>114</v>
      </c>
      <c r="BZ46" s="3">
        <v>0</v>
      </c>
      <c r="CA46" s="3" t="s">
        <v>114</v>
      </c>
      <c r="CB46" s="3" t="s">
        <v>114</v>
      </c>
      <c r="CC46" s="3" t="s">
        <v>114</v>
      </c>
      <c r="CD46" s="3" t="s">
        <v>114</v>
      </c>
      <c r="CE46" s="3" t="s">
        <v>114</v>
      </c>
      <c r="CF46" t="s">
        <v>114</v>
      </c>
      <c r="CG46" s="3" t="s">
        <v>114</v>
      </c>
      <c r="CH46" s="3" t="s">
        <v>114</v>
      </c>
      <c r="CI46" t="s">
        <v>114</v>
      </c>
      <c r="CJ46" t="s">
        <v>267</v>
      </c>
      <c r="CK46" s="3" t="s">
        <v>114</v>
      </c>
      <c r="CL46" s="3" t="s">
        <v>114</v>
      </c>
      <c r="CM46" s="3" t="s">
        <v>114</v>
      </c>
      <c r="CN46" s="3" t="s">
        <v>114</v>
      </c>
      <c r="CO46" s="3" t="s">
        <v>114</v>
      </c>
      <c r="CP46" s="2" t="s">
        <v>114</v>
      </c>
      <c r="CQ46" s="2" t="s">
        <v>114</v>
      </c>
      <c r="CR46" s="3" t="s">
        <v>114</v>
      </c>
      <c r="CS46" s="3" t="s">
        <v>114</v>
      </c>
      <c r="CT46" s="3" t="s">
        <v>114</v>
      </c>
      <c r="CU46" s="3" t="s">
        <v>114</v>
      </c>
      <c r="CV46" s="3" t="s">
        <v>114</v>
      </c>
      <c r="CW46" s="3">
        <f t="shared" si="0"/>
        <v>2.742861953652238E-3</v>
      </c>
      <c r="CX46" s="3" t="s">
        <v>114</v>
      </c>
      <c r="CY46" s="3" t="s">
        <v>114</v>
      </c>
      <c r="CZ46" s="3">
        <v>3.7952362739052434</v>
      </c>
      <c r="DA46" s="3" t="s">
        <v>114</v>
      </c>
      <c r="DB46" s="3" t="s">
        <v>114</v>
      </c>
      <c r="DC46" s="7">
        <v>950149.76722250006</v>
      </c>
      <c r="DD46" s="7"/>
      <c r="DE46" t="s">
        <v>114</v>
      </c>
      <c r="DF46" s="3" t="s">
        <v>114</v>
      </c>
      <c r="DG46" t="s">
        <v>114</v>
      </c>
    </row>
    <row r="47" spans="1:111" x14ac:dyDescent="0.25">
      <c r="A47" t="s">
        <v>312</v>
      </c>
      <c r="DC47" s="6">
        <f>SUM(DC6:DC46)</f>
        <v>346408161.72222412</v>
      </c>
    </row>
    <row r="52" spans="2:4" x14ac:dyDescent="0.25">
      <c r="B52" s="7"/>
      <c r="C52" s="7"/>
      <c r="D52" s="8"/>
    </row>
    <row r="53" spans="2:4" x14ac:dyDescent="0.25">
      <c r="B53" s="7"/>
      <c r="C53" s="7"/>
      <c r="D53" s="8"/>
    </row>
    <row r="54" spans="2:4" x14ac:dyDescent="0.25">
      <c r="B54" s="7"/>
      <c r="C54" s="7"/>
      <c r="D54" s="8"/>
    </row>
    <row r="55" spans="2:4" x14ac:dyDescent="0.25">
      <c r="B55" s="7"/>
      <c r="C55" s="7"/>
      <c r="D55" s="8"/>
    </row>
    <row r="56" spans="2:4" x14ac:dyDescent="0.25">
      <c r="B56" s="7"/>
      <c r="C56" s="7"/>
      <c r="D56" s="8"/>
    </row>
    <row r="57" spans="2:4" x14ac:dyDescent="0.25">
      <c r="B57" s="7"/>
      <c r="C57" s="7"/>
      <c r="D57" s="8"/>
    </row>
    <row r="58" spans="2:4" x14ac:dyDescent="0.25">
      <c r="B58" s="7"/>
      <c r="C58" s="7"/>
      <c r="D58" s="8"/>
    </row>
    <row r="59" spans="2:4" x14ac:dyDescent="0.25">
      <c r="B59" s="7"/>
      <c r="C59" s="7"/>
      <c r="D59" s="8"/>
    </row>
    <row r="60" spans="2:4" x14ac:dyDescent="0.25">
      <c r="B60" s="7"/>
    </row>
    <row r="62" spans="2:4" x14ac:dyDescent="0.25">
      <c r="B62" s="7"/>
    </row>
    <row r="64" spans="2:4" x14ac:dyDescent="0.25">
      <c r="B64" s="9"/>
    </row>
  </sheetData>
  <pageMargins left="0.511811024" right="0.511811024" top="0.78740157499999996" bottom="0.78740157499999996" header="0.31496062000000002" footer="0.31496062000000002"/>
  <ignoredErrors>
    <ignoredError sqref="A3 C1:L1 A2 C2:L2 A5:L5 A4 C4:L4 C3:L3 M1:DC1 M2:DC2 M5:DC5 M4:DC4 M3:DC3 DD1:DG1 DD2:DG2 DD5:DG5 DD4:DG4 DD3:DG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Composição Carteira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Cypriano</cp:lastModifiedBy>
  <dcterms:created xsi:type="dcterms:W3CDTF">2025-12-03T13:52:57Z</dcterms:created>
  <dcterms:modified xsi:type="dcterms:W3CDTF">2025-12-08T05:03:17Z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8f7c65-231b-45b4-bbde-7c1e09661ad6_Enabled">
    <vt:lpwstr>true</vt:lpwstr>
  </property>
  <property fmtid="{D5CDD505-2E9C-101B-9397-08002B2CF9AE}" pid="3" name="MSIP_Label_258f7c65-231b-45b4-bbde-7c1e09661ad6_SetDate">
    <vt:lpwstr>2025-12-03T13:55:22Z</vt:lpwstr>
  </property>
  <property fmtid="{D5CDD505-2E9C-101B-9397-08002B2CF9AE}" pid="4" name="MSIP_Label_258f7c65-231b-45b4-bbde-7c1e09661ad6_Method">
    <vt:lpwstr>Privileged</vt:lpwstr>
  </property>
  <property fmtid="{D5CDD505-2E9C-101B-9397-08002B2CF9AE}" pid="5" name="MSIP_Label_258f7c65-231b-45b4-bbde-7c1e09661ad6_Name">
    <vt:lpwstr>Uso Interno</vt:lpwstr>
  </property>
  <property fmtid="{D5CDD505-2E9C-101B-9397-08002B2CF9AE}" pid="6" name="MSIP_Label_258f7c65-231b-45b4-bbde-7c1e09661ad6_SiteId">
    <vt:lpwstr>1216a3c3-d062-4ac0-8268-9b9986a912b2</vt:lpwstr>
  </property>
  <property fmtid="{D5CDD505-2E9C-101B-9397-08002B2CF9AE}" pid="7" name="MSIP_Label_258f7c65-231b-45b4-bbde-7c1e09661ad6_ActionId">
    <vt:lpwstr>db952da3-e6f1-4a10-b61e-1dafaf0dd352</vt:lpwstr>
  </property>
  <property fmtid="{D5CDD505-2E9C-101B-9397-08002B2CF9AE}" pid="8" name="MSIP_Label_258f7c65-231b-45b4-bbde-7c1e09661ad6_ContentBits">
    <vt:lpwstr>0</vt:lpwstr>
  </property>
  <property fmtid="{D5CDD505-2E9C-101B-9397-08002B2CF9AE}" pid="9" name="MSIP_Label_258f7c65-231b-45b4-bbde-7c1e09661ad6_Tag">
    <vt:lpwstr>10, 0, 1, 1</vt:lpwstr>
  </property>
</Properties>
</file>